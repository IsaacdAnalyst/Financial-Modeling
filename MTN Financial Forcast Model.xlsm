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ctrlProps/ctrlProp13.xml" ContentType="application/vnd.ms-excel.controlproperties+xml"/>
  <Override PartName="/xl/comments3.xml" ContentType="application/vnd.openxmlformats-officedocument.spreadsheetml.comments+xml"/>
  <Override PartName="/xl/drawings/drawing12.xml" ContentType="application/vnd.openxmlformats-officedocument.drawing+xml"/>
  <Override PartName="/xl/ctrlProps/ctrlProp14.xml" ContentType="application/vnd.ms-excel.controlproperties+xml"/>
  <Override PartName="/xl/drawings/drawing13.xml" ContentType="application/vnd.openxmlformats-officedocument.drawing+xml"/>
  <Override PartName="/xl/ctrlProps/ctrlProp15.xml" ContentType="application/vnd.ms-excel.controlproperties+xml"/>
  <Override PartName="/xl/drawings/drawing14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0_ncr:8100000_{2D86200D-0C4C-45ED-A770-9791C09C892C}" xr6:coauthVersionLast="33" xr6:coauthVersionMax="46" xr10:uidLastSave="{00000000-0000-0000-0000-000000000000}"/>
  <bookViews>
    <workbookView xWindow="-105" yWindow="-105" windowWidth="23250" windowHeight="12570" tabRatio="780" xr2:uid="{E26A4F95-F296-4592-B816-E03A4FA014FF}"/>
  </bookViews>
  <sheets>
    <sheet name="Cover" sheetId="1" r:id="rId1"/>
    <sheet name="Contents" sheetId="7" r:id="rId2"/>
    <sheet name="Style" sheetId="3" r:id="rId3"/>
    <sheet name="Menu" sheetId="4" r:id="rId4"/>
    <sheet name="Summary" sheetId="17" r:id="rId5"/>
    <sheet name="Historical" sheetId="6" r:id="rId6"/>
    <sheet name="Input" sheetId="8" r:id="rId7"/>
    <sheet name="Scenarios" sheetId="11" r:id="rId8"/>
    <sheet name="Calc" sheetId="10" r:id="rId9"/>
    <sheet name="P&amp;L" sheetId="12" r:id="rId10"/>
    <sheet name="1 (3)" sheetId="18" state="hidden" r:id="rId11"/>
    <sheet name="BS" sheetId="13" r:id="rId12"/>
    <sheet name="CF" sheetId="14" r:id="rId13"/>
    <sheet name="Analysis" sheetId="15" r:id="rId14"/>
    <sheet name="Blank" sheetId="16" r:id="rId15"/>
    <sheet name="1 (2)" sheetId="9" state="hidden" r:id="rId16"/>
  </sheets>
  <definedNames>
    <definedName name="_xlnm._FilterDatabase" localSheetId="8" hidden="1">Calc!$D$183:$T$402</definedName>
    <definedName name="Balanced">BS!$G$58</definedName>
    <definedName name="Currency">Menu!$F$10</definedName>
    <definedName name="D_Headings">Input!$C$118:$J$118</definedName>
    <definedName name="D_Table">Input!$C$119:$J$131</definedName>
    <definedName name="P_1">Summary!$P$7</definedName>
    <definedName name="P_2">Summary!$Q$7</definedName>
    <definedName name="P_List">'1 (3)'!$L$12:$L$30</definedName>
    <definedName name="_xlnm.Print_Titles" localSheetId="15">'1 (2)'!$1:$10</definedName>
    <definedName name="_xlnm.Print_Titles" localSheetId="10">'1 (3)'!$1:$10</definedName>
    <definedName name="_xlnm.Print_Titles" localSheetId="13">Analysis!$1:$10</definedName>
    <definedName name="_xlnm.Print_Titles" localSheetId="14">Blank!$1:$10</definedName>
    <definedName name="_xlnm.Print_Titles" localSheetId="11">BS!$1:$8</definedName>
    <definedName name="_xlnm.Print_Titles" localSheetId="8">Calc!$1:$10</definedName>
    <definedName name="_xlnm.Print_Titles" localSheetId="12">CF!$1:$7</definedName>
    <definedName name="_xlnm.Print_Titles" localSheetId="1">Contents!$1:$3</definedName>
    <definedName name="_xlnm.Print_Titles" localSheetId="5">Historical!$1:$10</definedName>
    <definedName name="_xlnm.Print_Titles" localSheetId="6">Input!$1:$10</definedName>
    <definedName name="_xlnm.Print_Titles" localSheetId="3">Menu!$1:$8</definedName>
    <definedName name="_xlnm.Print_Titles" localSheetId="9">'P&amp;L'!$1:$8</definedName>
    <definedName name="_xlnm.Print_Titles" localSheetId="7">Scenarios!$1:$10</definedName>
    <definedName name="_xlnm.Print_Titles" localSheetId="2">Style!$1:$8</definedName>
    <definedName name="_xlnm.Print_Titles" localSheetId="4">Summary!$1:$8</definedName>
    <definedName name="S_Button">Scenarios!$F$12</definedName>
    <definedName name="S_List">Scenarios!$D$12:$D$14</definedName>
    <definedName name="Scenario">Scenarios!$D$11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2" i="11" l="1"/>
  <c r="F32" i="11" s="1"/>
  <c r="G31" i="11"/>
  <c r="F31" i="11" s="1"/>
  <c r="G30" i="11"/>
  <c r="O13" i="17" a="1"/>
  <c r="O13" i="17" s="1"/>
  <c r="O11" i="17" a="1"/>
  <c r="O11" i="17" s="1"/>
  <c r="P10" i="17"/>
  <c r="Q10" i="17"/>
  <c r="R10" i="17"/>
  <c r="S10" i="17"/>
  <c r="T10" i="17"/>
  <c r="O10" i="17"/>
  <c r="L13" i="17" a="1"/>
  <c r="L13" i="17" s="1"/>
  <c r="L11" i="17" a="1"/>
  <c r="L11" i="17" s="1"/>
  <c r="E28" i="13"/>
  <c r="O30" i="18"/>
  <c r="O29" i="18"/>
  <c r="O28" i="18"/>
  <c r="O27" i="18"/>
  <c r="O26" i="18"/>
  <c r="O25" i="18"/>
  <c r="O24" i="18"/>
  <c r="O23" i="18"/>
  <c r="O22" i="18"/>
  <c r="O21" i="18"/>
  <c r="O20" i="18"/>
  <c r="O19" i="18"/>
  <c r="O18" i="18"/>
  <c r="O17" i="18"/>
  <c r="O16" i="18"/>
  <c r="O15" i="18"/>
  <c r="O14" i="18"/>
  <c r="O13" i="18"/>
  <c r="O12" i="18"/>
  <c r="L30" i="18"/>
  <c r="L29" i="18"/>
  <c r="L28" i="18"/>
  <c r="L27" i="18"/>
  <c r="L17" i="18"/>
  <c r="L16" i="18"/>
  <c r="L15" i="18"/>
  <c r="L14" i="18"/>
  <c r="L12" i="18"/>
  <c r="O6" i="18"/>
  <c r="P6" i="18" s="1"/>
  <c r="Q6" i="18" s="1"/>
  <c r="R6" i="18" s="1"/>
  <c r="S6" i="18" s="1"/>
  <c r="T6" i="18" s="1"/>
  <c r="B2" i="18"/>
  <c r="F30" i="11" l="1"/>
  <c r="F18" i="10" s="1"/>
  <c r="F47" i="10"/>
  <c r="F35" i="10"/>
  <c r="F36" i="10"/>
  <c r="F37" i="10"/>
  <c r="F38" i="10"/>
  <c r="F39" i="10"/>
  <c r="F40" i="10"/>
  <c r="F41" i="10"/>
  <c r="F34" i="10"/>
  <c r="F48" i="10"/>
  <c r="F49" i="10"/>
  <c r="O14" i="17"/>
  <c r="N6" i="18"/>
  <c r="M6" i="18" s="1"/>
  <c r="P18" i="10" l="1"/>
  <c r="T18" i="10"/>
  <c r="Q18" i="10"/>
  <c r="S18" i="10"/>
  <c r="R18" i="10"/>
  <c r="B2" i="17"/>
  <c r="N65" i="15"/>
  <c r="O65" i="15"/>
  <c r="N64" i="15"/>
  <c r="O64" i="15"/>
  <c r="E58" i="15"/>
  <c r="E57" i="15"/>
  <c r="E54" i="15"/>
  <c r="E53" i="15"/>
  <c r="E50" i="15"/>
  <c r="E49" i="15"/>
  <c r="E46" i="15"/>
  <c r="E45" i="15"/>
  <c r="E39" i="15"/>
  <c r="E38" i="15"/>
  <c r="E35" i="15"/>
  <c r="E34" i="15"/>
  <c r="E31" i="15"/>
  <c r="E30" i="15"/>
  <c r="E27" i="15"/>
  <c r="E26" i="15"/>
  <c r="E23" i="15"/>
  <c r="E22" i="15"/>
  <c r="E19" i="15"/>
  <c r="E18" i="15"/>
  <c r="E15" i="15"/>
  <c r="O62" i="15"/>
  <c r="N62" i="15"/>
  <c r="N58" i="15"/>
  <c r="O58" i="15"/>
  <c r="N57" i="15"/>
  <c r="O57" i="15"/>
  <c r="N54" i="15"/>
  <c r="O54" i="15"/>
  <c r="N53" i="15"/>
  <c r="O53" i="15"/>
  <c r="N50" i="15"/>
  <c r="O50" i="15"/>
  <c r="N49" i="15"/>
  <c r="O49" i="15"/>
  <c r="O46" i="15"/>
  <c r="N46" i="15"/>
  <c r="N45" i="15"/>
  <c r="O45" i="15"/>
  <c r="N30" i="15"/>
  <c r="O30" i="15"/>
  <c r="O31" i="15"/>
  <c r="N31" i="15"/>
  <c r="N26" i="15"/>
  <c r="O26" i="15"/>
  <c r="O27" i="15"/>
  <c r="N27" i="15"/>
  <c r="N22" i="15"/>
  <c r="O22" i="15"/>
  <c r="O23" i="15"/>
  <c r="N23" i="15"/>
  <c r="N18" i="15"/>
  <c r="O18" i="15"/>
  <c r="O19" i="15"/>
  <c r="N19" i="15"/>
  <c r="N15" i="15"/>
  <c r="O15" i="15"/>
  <c r="E14" i="15"/>
  <c r="N14" i="15"/>
  <c r="N13" i="15" s="1"/>
  <c r="O14" i="15"/>
  <c r="O13" i="15" s="1"/>
  <c r="N11" i="15"/>
  <c r="O11" i="15"/>
  <c r="N56" i="15" l="1"/>
  <c r="N48" i="15"/>
  <c r="N21" i="15"/>
  <c r="N52" i="15"/>
  <c r="N17" i="15"/>
  <c r="O17" i="15"/>
  <c r="O48" i="15"/>
  <c r="N29" i="15"/>
  <c r="O56" i="15"/>
  <c r="O52" i="15"/>
  <c r="O21" i="15"/>
  <c r="N25" i="15"/>
  <c r="O44" i="15"/>
  <c r="N44" i="15"/>
  <c r="O29" i="15"/>
  <c r="O25" i="15"/>
  <c r="S63" i="8" l="1"/>
  <c r="R63" i="8"/>
  <c r="Q63" i="8"/>
  <c r="T71" i="8"/>
  <c r="S71" i="8"/>
  <c r="R71" i="8"/>
  <c r="Q71" i="8"/>
  <c r="P71" i="8"/>
  <c r="T67" i="8"/>
  <c r="S67" i="8"/>
  <c r="R67" i="8"/>
  <c r="Q67" i="8"/>
  <c r="P67" i="8"/>
  <c r="P63" i="8"/>
  <c r="T63" i="8"/>
  <c r="Q59" i="8" l="1"/>
  <c r="R59" i="8" s="1"/>
  <c r="S59" i="8" s="1"/>
  <c r="T59" i="8" s="1"/>
  <c r="P59" i="8"/>
  <c r="O58" i="13" l="1"/>
  <c r="N58" i="13"/>
  <c r="D11" i="11" a="1"/>
  <c r="D11" i="11" s="1"/>
  <c r="D4" i="17" s="1"/>
  <c r="Q26" i="11"/>
  <c r="R26" i="11"/>
  <c r="S26" i="11"/>
  <c r="T26" i="11"/>
  <c r="P26" i="11"/>
  <c r="Q20" i="11"/>
  <c r="R20" i="11"/>
  <c r="S20" i="11"/>
  <c r="T20" i="11"/>
  <c r="P20" i="11"/>
  <c r="D26" i="11"/>
  <c r="T25" i="11"/>
  <c r="S25" i="11"/>
  <c r="R25" i="11"/>
  <c r="Q25" i="11"/>
  <c r="P25" i="11"/>
  <c r="D25" i="11"/>
  <c r="D24" i="11"/>
  <c r="T23" i="11"/>
  <c r="T26" i="8" s="1"/>
  <c r="S23" i="11"/>
  <c r="S26" i="8" s="1"/>
  <c r="R23" i="11"/>
  <c r="R26" i="8" s="1"/>
  <c r="Q23" i="11"/>
  <c r="Q26" i="8" s="1"/>
  <c r="P23" i="11"/>
  <c r="P26" i="8" s="1"/>
  <c r="Q17" i="11"/>
  <c r="Q25" i="8" s="1"/>
  <c r="R17" i="11"/>
  <c r="R25" i="8" s="1"/>
  <c r="S17" i="11"/>
  <c r="S25" i="8" s="1"/>
  <c r="T17" i="11"/>
  <c r="T25" i="8" s="1"/>
  <c r="P17" i="11"/>
  <c r="P25" i="8" s="1"/>
  <c r="Q19" i="11"/>
  <c r="R19" i="11"/>
  <c r="S19" i="11"/>
  <c r="T19" i="11"/>
  <c r="P19" i="11"/>
  <c r="D20" i="11"/>
  <c r="D19" i="11"/>
  <c r="D18" i="11"/>
  <c r="O409" i="10"/>
  <c r="Q406" i="10"/>
  <c r="R406" i="10"/>
  <c r="S406" i="10"/>
  <c r="T406" i="10"/>
  <c r="Q407" i="10"/>
  <c r="R407" i="10"/>
  <c r="S407" i="10"/>
  <c r="T407" i="10"/>
  <c r="P407" i="10"/>
  <c r="P406" i="10"/>
  <c r="E407" i="10"/>
  <c r="E406" i="10"/>
  <c r="D407" i="10"/>
  <c r="D406" i="10"/>
  <c r="E181" i="10"/>
  <c r="D180" i="10"/>
  <c r="O133" i="8"/>
  <c r="N133" i="8"/>
  <c r="E337" i="10"/>
  <c r="G337" i="10" a="1"/>
  <c r="G342" i="10" s="1"/>
  <c r="E338" i="10"/>
  <c r="E339" i="10"/>
  <c r="E340" i="10"/>
  <c r="E354" i="10"/>
  <c r="G354" i="10" a="1"/>
  <c r="G359" i="10" s="1"/>
  <c r="E355" i="10"/>
  <c r="E356" i="10"/>
  <c r="E357" i="10"/>
  <c r="E371" i="10"/>
  <c r="G371" i="10" a="1"/>
  <c r="G376" i="10" s="1"/>
  <c r="E372" i="10"/>
  <c r="E373" i="10"/>
  <c r="E374" i="10"/>
  <c r="E388" i="10"/>
  <c r="G388" i="10" a="1"/>
  <c r="G393" i="10" s="1"/>
  <c r="E389" i="10"/>
  <c r="E390" i="10"/>
  <c r="E391" i="10"/>
  <c r="E218" i="10"/>
  <c r="G218" i="10" a="1"/>
  <c r="G223" i="10" s="1"/>
  <c r="I223" i="10" s="1"/>
  <c r="E219" i="10"/>
  <c r="E220" i="10"/>
  <c r="E221" i="10"/>
  <c r="E235" i="10"/>
  <c r="G235" i="10" a="1"/>
  <c r="G240" i="10" s="1"/>
  <c r="I240" i="10" s="1"/>
  <c r="E236" i="10"/>
  <c r="E237" i="10"/>
  <c r="E238" i="10"/>
  <c r="E252" i="10"/>
  <c r="G252" i="10" a="1"/>
  <c r="G257" i="10" s="1"/>
  <c r="I257" i="10" s="1"/>
  <c r="E253" i="10"/>
  <c r="E254" i="10"/>
  <c r="E255" i="10"/>
  <c r="E269" i="10"/>
  <c r="G269" i="10" a="1"/>
  <c r="G274" i="10" s="1"/>
  <c r="I274" i="10" s="1"/>
  <c r="E270" i="10"/>
  <c r="E271" i="10"/>
  <c r="E272" i="10"/>
  <c r="E286" i="10"/>
  <c r="G286" i="10" a="1"/>
  <c r="G291" i="10" s="1"/>
  <c r="I291" i="10" s="1"/>
  <c r="E287" i="10"/>
  <c r="E288" i="10"/>
  <c r="E289" i="10"/>
  <c r="E303" i="10"/>
  <c r="G303" i="10" a="1"/>
  <c r="G308" i="10" s="1"/>
  <c r="I308" i="10" s="1"/>
  <c r="E304" i="10"/>
  <c r="E305" i="10"/>
  <c r="E306" i="10"/>
  <c r="E320" i="10"/>
  <c r="G320" i="10" a="1"/>
  <c r="G324" i="10" s="1"/>
  <c r="I324" i="10" s="1"/>
  <c r="E321" i="10"/>
  <c r="E322" i="10"/>
  <c r="E323" i="10"/>
  <c r="E201" i="10"/>
  <c r="G201" i="10" a="1"/>
  <c r="G206" i="10" s="1"/>
  <c r="I206" i="10" s="1"/>
  <c r="E202" i="10"/>
  <c r="E203" i="10"/>
  <c r="E204" i="10"/>
  <c r="D4" i="12" l="1"/>
  <c r="D4" i="10"/>
  <c r="D4" i="11"/>
  <c r="D4" i="6"/>
  <c r="D4" i="8"/>
  <c r="D4" i="16"/>
  <c r="D4" i="15"/>
  <c r="D4" i="14"/>
  <c r="D4" i="13"/>
  <c r="G273" i="10"/>
  <c r="I273" i="10" s="1"/>
  <c r="G356" i="10"/>
  <c r="I356" i="10" s="1"/>
  <c r="G390" i="10"/>
  <c r="I390" i="10" s="1"/>
  <c r="G344" i="10"/>
  <c r="I344" i="10" s="1"/>
  <c r="G239" i="10"/>
  <c r="I239" i="10" s="1"/>
  <c r="G361" i="10"/>
  <c r="I361" i="10" s="1"/>
  <c r="G339" i="10"/>
  <c r="I339" i="10" s="1"/>
  <c r="G378" i="10"/>
  <c r="I378" i="10" s="1"/>
  <c r="G256" i="10"/>
  <c r="I256" i="10" s="1"/>
  <c r="G373" i="10"/>
  <c r="I373" i="10" s="1"/>
  <c r="G392" i="10"/>
  <c r="I392" i="10" s="1"/>
  <c r="G375" i="10"/>
  <c r="I375" i="10" s="1"/>
  <c r="G358" i="10"/>
  <c r="I358" i="10" s="1"/>
  <c r="G341" i="10"/>
  <c r="I341" i="10" s="1"/>
  <c r="G391" i="10"/>
  <c r="I391" i="10" s="1"/>
  <c r="G374" i="10"/>
  <c r="I374" i="10" s="1"/>
  <c r="G357" i="10"/>
  <c r="I357" i="10" s="1"/>
  <c r="G340" i="10"/>
  <c r="I340" i="10" s="1"/>
  <c r="G389" i="10"/>
  <c r="I389" i="10" s="1"/>
  <c r="D387" i="10" s="1"/>
  <c r="G372" i="10"/>
  <c r="I372" i="10" s="1"/>
  <c r="D370" i="10" s="1"/>
  <c r="G355" i="10"/>
  <c r="I355" i="10" s="1"/>
  <c r="D353" i="10" s="1"/>
  <c r="G338" i="10"/>
  <c r="I338" i="10" s="1"/>
  <c r="D336" i="10" s="1"/>
  <c r="G388" i="10"/>
  <c r="G371" i="10"/>
  <c r="G354" i="10"/>
  <c r="G337" i="10"/>
  <c r="G395" i="10"/>
  <c r="I395" i="10" s="1"/>
  <c r="G394" i="10"/>
  <c r="I394" i="10" s="1"/>
  <c r="G377" i="10"/>
  <c r="I377" i="10" s="1"/>
  <c r="G360" i="10"/>
  <c r="I360" i="10" s="1"/>
  <c r="G343" i="10"/>
  <c r="I343" i="10" s="1"/>
  <c r="G307" i="10"/>
  <c r="I307" i="10" s="1"/>
  <c r="G327" i="10"/>
  <c r="I327" i="10" s="1"/>
  <c r="G225" i="10"/>
  <c r="I225" i="10" s="1"/>
  <c r="G290" i="10"/>
  <c r="I290" i="10" s="1"/>
  <c r="G276" i="10"/>
  <c r="I276" i="10" s="1"/>
  <c r="G259" i="10"/>
  <c r="I259" i="10" s="1"/>
  <c r="G242" i="10"/>
  <c r="I242" i="10" s="1"/>
  <c r="G222" i="10"/>
  <c r="I222" i="10" s="1"/>
  <c r="G325" i="10"/>
  <c r="G326" i="10"/>
  <c r="I326" i="10" s="1"/>
  <c r="G320" i="10"/>
  <c r="G321" i="10"/>
  <c r="I321" i="10" s="1"/>
  <c r="D319" i="10" s="1"/>
  <c r="G323" i="10"/>
  <c r="I323" i="10" s="1"/>
  <c r="G322" i="10"/>
  <c r="I322" i="10" s="1"/>
  <c r="G306" i="10"/>
  <c r="I306" i="10" s="1"/>
  <c r="G289" i="10"/>
  <c r="I289" i="10" s="1"/>
  <c r="G272" i="10"/>
  <c r="I272" i="10" s="1"/>
  <c r="G255" i="10"/>
  <c r="I255" i="10" s="1"/>
  <c r="G238" i="10"/>
  <c r="I238" i="10" s="1"/>
  <c r="G221" i="10"/>
  <c r="I221" i="10" s="1"/>
  <c r="G305" i="10"/>
  <c r="I305" i="10" s="1"/>
  <c r="G288" i="10"/>
  <c r="I288" i="10" s="1"/>
  <c r="G271" i="10"/>
  <c r="I271" i="10" s="1"/>
  <c r="G254" i="10"/>
  <c r="I254" i="10" s="1"/>
  <c r="G237" i="10"/>
  <c r="I237" i="10" s="1"/>
  <c r="G220" i="10"/>
  <c r="I220" i="10" s="1"/>
  <c r="G304" i="10"/>
  <c r="I304" i="10" s="1"/>
  <c r="D302" i="10" s="1"/>
  <c r="G287" i="10"/>
  <c r="I287" i="10" s="1"/>
  <c r="D285" i="10" s="1"/>
  <c r="G270" i="10"/>
  <c r="I270" i="10" s="1"/>
  <c r="D268" i="10" s="1"/>
  <c r="G253" i="10"/>
  <c r="I253" i="10" s="1"/>
  <c r="D251" i="10" s="1"/>
  <c r="G236" i="10"/>
  <c r="I236" i="10" s="1"/>
  <c r="D234" i="10" s="1"/>
  <c r="G219" i="10"/>
  <c r="I219" i="10" s="1"/>
  <c r="D217" i="10" s="1"/>
  <c r="G303" i="10"/>
  <c r="G286" i="10"/>
  <c r="G269" i="10"/>
  <c r="G252" i="10"/>
  <c r="G235" i="10"/>
  <c r="G218" i="10"/>
  <c r="G309" i="10"/>
  <c r="I309" i="10" s="1"/>
  <c r="G292" i="10"/>
  <c r="I292" i="10" s="1"/>
  <c r="G275" i="10"/>
  <c r="I275" i="10" s="1"/>
  <c r="G258" i="10"/>
  <c r="I258" i="10" s="1"/>
  <c r="G241" i="10"/>
  <c r="I241" i="10" s="1"/>
  <c r="G224" i="10"/>
  <c r="I224" i="10" s="1"/>
  <c r="G310" i="10"/>
  <c r="I310" i="10" s="1"/>
  <c r="G293" i="10"/>
  <c r="I293" i="10" s="1"/>
  <c r="G208" i="10"/>
  <c r="I208" i="10" s="1"/>
  <c r="G207" i="10"/>
  <c r="I207" i="10" s="1"/>
  <c r="P208" i="10" s="1"/>
  <c r="G205" i="10"/>
  <c r="I205" i="10" s="1"/>
  <c r="G204" i="10"/>
  <c r="I204" i="10" s="1"/>
  <c r="G203" i="10"/>
  <c r="I203" i="10" s="1"/>
  <c r="G202" i="10"/>
  <c r="I202" i="10" s="1"/>
  <c r="D200" i="10" s="1"/>
  <c r="G201" i="10"/>
  <c r="G184" i="10" a="1"/>
  <c r="G186" i="10" s="1"/>
  <c r="I186" i="10" s="1"/>
  <c r="E187" i="10"/>
  <c r="E186" i="10"/>
  <c r="E185" i="10"/>
  <c r="E184" i="10"/>
  <c r="Q405" i="10"/>
  <c r="Q410" i="10" s="1"/>
  <c r="R405" i="10"/>
  <c r="R410" i="10" s="1"/>
  <c r="S405" i="10"/>
  <c r="S410" i="10" s="1"/>
  <c r="T405" i="10"/>
  <c r="T410" i="10" s="1"/>
  <c r="Q170" i="10"/>
  <c r="R170" i="10"/>
  <c r="S170" i="10"/>
  <c r="T170" i="10"/>
  <c r="Q171" i="10"/>
  <c r="R171" i="10"/>
  <c r="S171" i="10"/>
  <c r="T171" i="10"/>
  <c r="P171" i="10"/>
  <c r="P170" i="10"/>
  <c r="P405" i="10"/>
  <c r="E171" i="10"/>
  <c r="E170" i="10"/>
  <c r="E405" i="10"/>
  <c r="D170" i="10"/>
  <c r="D171" i="10"/>
  <c r="D405" i="10"/>
  <c r="P410" i="10" l="1"/>
  <c r="P415" i="10" s="1"/>
  <c r="P399" i="10"/>
  <c r="Q399" i="10"/>
  <c r="R399" i="10"/>
  <c r="S399" i="10"/>
  <c r="T399" i="10"/>
  <c r="P348" i="10"/>
  <c r="Q348" i="10"/>
  <c r="R348" i="10"/>
  <c r="T348" i="10"/>
  <c r="S348" i="10"/>
  <c r="T344" i="10"/>
  <c r="T347" i="10" s="1" a="1"/>
  <c r="T347" i="10" s="1"/>
  <c r="Q344" i="10"/>
  <c r="Q347" i="10" s="1" a="1"/>
  <c r="Q347" i="10" s="1"/>
  <c r="P344" i="10"/>
  <c r="R344" i="10"/>
  <c r="R347" i="10" s="1" a="1"/>
  <c r="R347" i="10" s="1"/>
  <c r="S344" i="10"/>
  <c r="S347" i="10" s="1" a="1"/>
  <c r="S347" i="10" s="1"/>
  <c r="T378" i="10"/>
  <c r="T381" i="10" s="1" a="1"/>
  <c r="T381" i="10" s="1"/>
  <c r="P378" i="10"/>
  <c r="Q378" i="10"/>
  <c r="Q381" i="10" s="1" a="1"/>
  <c r="Q381" i="10" s="1"/>
  <c r="R378" i="10"/>
  <c r="R381" i="10" s="1" a="1"/>
  <c r="R381" i="10" s="1"/>
  <c r="S378" i="10"/>
  <c r="S381" i="10" s="1" a="1"/>
  <c r="S381" i="10" s="1"/>
  <c r="T361" i="10"/>
  <c r="T364" i="10" s="1" a="1"/>
  <c r="T364" i="10" s="1"/>
  <c r="P361" i="10"/>
  <c r="Q361" i="10"/>
  <c r="Q364" i="10" s="1" a="1"/>
  <c r="Q364" i="10" s="1"/>
  <c r="R361" i="10"/>
  <c r="R364" i="10" s="1" a="1"/>
  <c r="R364" i="10" s="1"/>
  <c r="S361" i="10"/>
  <c r="S364" i="10" s="1" a="1"/>
  <c r="S364" i="10" s="1"/>
  <c r="T395" i="10"/>
  <c r="T398" i="10" s="1" a="1"/>
  <c r="T398" i="10" s="1"/>
  <c r="P395" i="10"/>
  <c r="R395" i="10"/>
  <c r="R398" i="10" s="1" a="1"/>
  <c r="R398" i="10" s="1"/>
  <c r="S395" i="10"/>
  <c r="S398" i="10" s="1" a="1"/>
  <c r="S398" i="10" s="1"/>
  <c r="Q395" i="10"/>
  <c r="Q398" i="10" s="1" a="1"/>
  <c r="Q398" i="10" s="1"/>
  <c r="P365" i="10"/>
  <c r="Q365" i="10"/>
  <c r="R365" i="10"/>
  <c r="T365" i="10"/>
  <c r="S365" i="10"/>
  <c r="P382" i="10"/>
  <c r="Q382" i="10"/>
  <c r="R382" i="10"/>
  <c r="T382" i="10"/>
  <c r="S382" i="10"/>
  <c r="R208" i="10"/>
  <c r="R211" i="10" s="1" a="1"/>
  <c r="R211" i="10" s="1"/>
  <c r="Q208" i="10"/>
  <c r="Q211" i="10" s="1" a="1"/>
  <c r="Q211" i="10" s="1"/>
  <c r="T208" i="10"/>
  <c r="P331" i="10"/>
  <c r="R331" i="10"/>
  <c r="S331" i="10"/>
  <c r="T331" i="10"/>
  <c r="Q331" i="10"/>
  <c r="P229" i="10"/>
  <c r="Q229" i="10"/>
  <c r="R229" i="10"/>
  <c r="S229" i="10"/>
  <c r="T229" i="10"/>
  <c r="T242" i="10"/>
  <c r="T245" i="10" s="1" a="1"/>
  <c r="T245" i="10" s="1"/>
  <c r="P242" i="10"/>
  <c r="Q242" i="10"/>
  <c r="Q245" i="10" s="1" a="1"/>
  <c r="Q245" i="10" s="1"/>
  <c r="R242" i="10"/>
  <c r="R245" i="10" s="1" a="1"/>
  <c r="R245" i="10" s="1"/>
  <c r="S242" i="10"/>
  <c r="S245" i="10" s="1" a="1"/>
  <c r="S245" i="10" s="1"/>
  <c r="P246" i="10"/>
  <c r="Q246" i="10"/>
  <c r="R246" i="10"/>
  <c r="S246" i="10"/>
  <c r="T246" i="10"/>
  <c r="T327" i="10"/>
  <c r="T330" i="10" s="1" a="1"/>
  <c r="T330" i="10" s="1"/>
  <c r="P327" i="10"/>
  <c r="Q327" i="10"/>
  <c r="Q330" i="10" s="1" a="1"/>
  <c r="Q330" i="10" s="1"/>
  <c r="R327" i="10"/>
  <c r="R330" i="10" s="1" a="1"/>
  <c r="R330" i="10" s="1"/>
  <c r="S327" i="10"/>
  <c r="S330" i="10" s="1" a="1"/>
  <c r="S330" i="10" s="1"/>
  <c r="T259" i="10"/>
  <c r="T262" i="10" s="1" a="1"/>
  <c r="T262" i="10" s="1"/>
  <c r="P259" i="10"/>
  <c r="Q259" i="10"/>
  <c r="Q262" i="10" s="1" a="1"/>
  <c r="Q262" i="10" s="1"/>
  <c r="R259" i="10"/>
  <c r="R262" i="10" s="1" a="1"/>
  <c r="R262" i="10" s="1"/>
  <c r="S259" i="10"/>
  <c r="S262" i="10" s="1" a="1"/>
  <c r="S262" i="10" s="1"/>
  <c r="P263" i="10"/>
  <c r="Q263" i="10"/>
  <c r="R263" i="10"/>
  <c r="S263" i="10"/>
  <c r="T263" i="10"/>
  <c r="T276" i="10"/>
  <c r="T279" i="10" s="1" a="1"/>
  <c r="T279" i="10" s="1"/>
  <c r="P276" i="10"/>
  <c r="Q276" i="10"/>
  <c r="Q279" i="10" s="1" a="1"/>
  <c r="Q279" i="10" s="1"/>
  <c r="R276" i="10"/>
  <c r="R279" i="10" s="1" a="1"/>
  <c r="R279" i="10" s="1"/>
  <c r="S276" i="10"/>
  <c r="S279" i="10" s="1" a="1"/>
  <c r="S279" i="10" s="1"/>
  <c r="P280" i="10"/>
  <c r="Q280" i="10"/>
  <c r="R280" i="10"/>
  <c r="S280" i="10"/>
  <c r="T280" i="10"/>
  <c r="Q297" i="10"/>
  <c r="P297" i="10"/>
  <c r="R297" i="10"/>
  <c r="S297" i="10"/>
  <c r="T297" i="10"/>
  <c r="T293" i="10"/>
  <c r="T296" i="10" s="1" a="1"/>
  <c r="T296" i="10" s="1"/>
  <c r="P293" i="10"/>
  <c r="Q293" i="10"/>
  <c r="Q296" i="10" s="1" a="1"/>
  <c r="Q296" i="10" s="1"/>
  <c r="R293" i="10"/>
  <c r="R296" i="10" s="1" a="1"/>
  <c r="R296" i="10" s="1"/>
  <c r="S293" i="10"/>
  <c r="S296" i="10" s="1" a="1"/>
  <c r="S296" i="10" s="1"/>
  <c r="T310" i="10"/>
  <c r="T313" i="10" s="1" a="1"/>
  <c r="T313" i="10" s="1"/>
  <c r="P310" i="10"/>
  <c r="R310" i="10"/>
  <c r="R313" i="10" s="1" a="1"/>
  <c r="R313" i="10" s="1"/>
  <c r="Q310" i="10"/>
  <c r="Q313" i="10" s="1" a="1"/>
  <c r="Q313" i="10" s="1"/>
  <c r="S310" i="10"/>
  <c r="S313" i="10" s="1" a="1"/>
  <c r="S313" i="10" s="1"/>
  <c r="Q314" i="10"/>
  <c r="P314" i="10"/>
  <c r="R314" i="10"/>
  <c r="S314" i="10"/>
  <c r="T314" i="10"/>
  <c r="T225" i="10"/>
  <c r="T228" i="10" s="1" a="1"/>
  <c r="T228" i="10" s="1"/>
  <c r="T230" i="10" s="1"/>
  <c r="P225" i="10"/>
  <c r="Q225" i="10"/>
  <c r="Q228" i="10" s="1" a="1"/>
  <c r="Q228" i="10" s="1"/>
  <c r="R225" i="10"/>
  <c r="R228" i="10" s="1" a="1"/>
  <c r="R228" i="10" s="1"/>
  <c r="S225" i="10"/>
  <c r="S228" i="10" s="1" a="1"/>
  <c r="S228" i="10" s="1"/>
  <c r="S208" i="10"/>
  <c r="S211" i="10" s="1" a="1"/>
  <c r="S211" i="10" s="1"/>
  <c r="T211" i="10" a="1"/>
  <c r="T211" i="10" s="1"/>
  <c r="N211" i="10"/>
  <c r="P211" i="10" a="1"/>
  <c r="P211" i="10" s="1"/>
  <c r="R212" i="10"/>
  <c r="S212" i="10"/>
  <c r="T212" i="10"/>
  <c r="Q212" i="10"/>
  <c r="P212" i="10"/>
  <c r="G190" i="10"/>
  <c r="I190" i="10" s="1"/>
  <c r="T191" i="10" s="1"/>
  <c r="T194" i="10" s="1" a="1"/>
  <c r="T194" i="10" s="1"/>
  <c r="G185" i="10"/>
  <c r="I185" i="10" s="1"/>
  <c r="D183" i="10" s="1"/>
  <c r="G184" i="10"/>
  <c r="G191" i="10"/>
  <c r="I191" i="10" s="1"/>
  <c r="G189" i="10"/>
  <c r="I189" i="10" s="1"/>
  <c r="G188" i="10"/>
  <c r="I188" i="10" s="1"/>
  <c r="G187" i="10"/>
  <c r="I187" i="10" s="1"/>
  <c r="T195" i="10" s="1"/>
  <c r="E32" i="14"/>
  <c r="E166" i="10"/>
  <c r="O165" i="10"/>
  <c r="P166" i="10" s="1"/>
  <c r="P25" i="13" s="1"/>
  <c r="P32" i="14" s="1"/>
  <c r="E165" i="10"/>
  <c r="O49" i="14"/>
  <c r="P47" i="14" s="1"/>
  <c r="E49" i="14"/>
  <c r="E48" i="14"/>
  <c r="E47" i="14"/>
  <c r="E40" i="14"/>
  <c r="E41" i="14"/>
  <c r="E42" i="14"/>
  <c r="E43" i="14"/>
  <c r="E44" i="14"/>
  <c r="E39" i="14"/>
  <c r="E38" i="14"/>
  <c r="E37" i="14"/>
  <c r="E36" i="14"/>
  <c r="D38" i="14"/>
  <c r="D37" i="14"/>
  <c r="D36" i="14"/>
  <c r="E33" i="14"/>
  <c r="O85" i="10"/>
  <c r="E31" i="14"/>
  <c r="E30" i="14"/>
  <c r="E29" i="14"/>
  <c r="E28" i="14"/>
  <c r="E27" i="14"/>
  <c r="E24" i="14"/>
  <c r="E22" i="14"/>
  <c r="E21" i="14"/>
  <c r="E20" i="14"/>
  <c r="E19" i="14"/>
  <c r="E18" i="14"/>
  <c r="E17" i="14"/>
  <c r="E16" i="14"/>
  <c r="E15" i="14"/>
  <c r="E14" i="14"/>
  <c r="E13" i="14"/>
  <c r="E12" i="14"/>
  <c r="D14" i="14"/>
  <c r="D13" i="14"/>
  <c r="D12" i="14"/>
  <c r="E10" i="14"/>
  <c r="O177" i="10"/>
  <c r="P174" i="10" s="1"/>
  <c r="E179" i="10"/>
  <c r="E177" i="10"/>
  <c r="E176" i="10"/>
  <c r="E175" i="10"/>
  <c r="E174" i="10"/>
  <c r="E71" i="10"/>
  <c r="O71" i="10"/>
  <c r="D71" i="10"/>
  <c r="Q400" i="10" l="1"/>
  <c r="Q230" i="10"/>
  <c r="Q264" i="10"/>
  <c r="R298" i="10"/>
  <c r="T349" i="10"/>
  <c r="S400" i="10"/>
  <c r="Q332" i="10"/>
  <c r="R315" i="10"/>
  <c r="T400" i="10"/>
  <c r="R213" i="10"/>
  <c r="S349" i="10"/>
  <c r="R366" i="10"/>
  <c r="Q213" i="10"/>
  <c r="T332" i="10"/>
  <c r="R349" i="10"/>
  <c r="S298" i="10"/>
  <c r="R247" i="10"/>
  <c r="Q349" i="10"/>
  <c r="R264" i="10"/>
  <c r="Q247" i="10"/>
  <c r="R383" i="10"/>
  <c r="S315" i="10"/>
  <c r="T281" i="10"/>
  <c r="Q315" i="10"/>
  <c r="S366" i="10"/>
  <c r="T366" i="10"/>
  <c r="Q383" i="10"/>
  <c r="R400" i="10"/>
  <c r="N381" i="10"/>
  <c r="P381" i="10" a="1"/>
  <c r="P381" i="10" s="1"/>
  <c r="P383" i="10" s="1"/>
  <c r="N364" i="10"/>
  <c r="P364" i="10" a="1"/>
  <c r="P364" i="10" s="1"/>
  <c r="P366" i="10" s="1"/>
  <c r="N398" i="10"/>
  <c r="P398" i="10" a="1"/>
  <c r="P398" i="10" s="1"/>
  <c r="P400" i="10" s="1"/>
  <c r="T383" i="10"/>
  <c r="N347" i="10"/>
  <c r="P347" i="10" a="1"/>
  <c r="P347" i="10" s="1"/>
  <c r="P349" i="10" s="1"/>
  <c r="Q366" i="10"/>
  <c r="S383" i="10"/>
  <c r="P213" i="10"/>
  <c r="R332" i="10"/>
  <c r="S264" i="10"/>
  <c r="S247" i="10"/>
  <c r="Q298" i="10"/>
  <c r="N330" i="10"/>
  <c r="P330" i="10" a="1"/>
  <c r="P330" i="10" s="1"/>
  <c r="P332" i="10" s="1"/>
  <c r="N313" i="10"/>
  <c r="P313" i="10" a="1"/>
  <c r="P313" i="10" s="1"/>
  <c r="P315" i="10" s="1"/>
  <c r="N262" i="10"/>
  <c r="P262" i="10" a="1"/>
  <c r="P262" i="10" s="1"/>
  <c r="P264" i="10" s="1"/>
  <c r="N245" i="10"/>
  <c r="P245" i="10" a="1"/>
  <c r="P245" i="10" s="1"/>
  <c r="P247" i="10" s="1"/>
  <c r="T315" i="10"/>
  <c r="T298" i="10"/>
  <c r="S281" i="10"/>
  <c r="T264" i="10"/>
  <c r="T247" i="10"/>
  <c r="N228" i="10"/>
  <c r="P228" i="10" a="1"/>
  <c r="P228" i="10" s="1"/>
  <c r="P230" i="10" s="1"/>
  <c r="N296" i="10"/>
  <c r="P296" i="10" a="1"/>
  <c r="P296" i="10" s="1"/>
  <c r="P298" i="10" s="1"/>
  <c r="R281" i="10"/>
  <c r="R230" i="10"/>
  <c r="Q281" i="10"/>
  <c r="S332" i="10"/>
  <c r="S230" i="10"/>
  <c r="N279" i="10"/>
  <c r="P279" i="10" a="1"/>
  <c r="P279" i="10" s="1"/>
  <c r="P281" i="10" s="1"/>
  <c r="S213" i="10"/>
  <c r="T196" i="10"/>
  <c r="P191" i="10"/>
  <c r="N194" i="10" s="1"/>
  <c r="Q191" i="10"/>
  <c r="Q194" i="10" s="1" a="1"/>
  <c r="Q194" i="10" s="1"/>
  <c r="T213" i="10"/>
  <c r="P195" i="10"/>
  <c r="R195" i="10"/>
  <c r="S195" i="10"/>
  <c r="Q195" i="10"/>
  <c r="S191" i="10"/>
  <c r="S194" i="10" s="1" a="1"/>
  <c r="S194" i="10" s="1"/>
  <c r="R191" i="10"/>
  <c r="R194" i="10" s="1" a="1"/>
  <c r="R194" i="10" s="1"/>
  <c r="E162" i="10"/>
  <c r="E180" i="10" s="1"/>
  <c r="O160" i="10"/>
  <c r="E160" i="10"/>
  <c r="E159" i="10"/>
  <c r="E158" i="10"/>
  <c r="E157" i="10"/>
  <c r="P194" i="10" l="1" a="1"/>
  <c r="P194" i="10" s="1"/>
  <c r="P196" i="10" s="1"/>
  <c r="R196" i="10"/>
  <c r="S196" i="10"/>
  <c r="Q196" i="10"/>
  <c r="P157" i="10"/>
  <c r="P159" i="10" s="1"/>
  <c r="P43" i="14" s="1"/>
  <c r="O152" i="10"/>
  <c r="P149" i="10" s="1"/>
  <c r="E152" i="10"/>
  <c r="E151" i="10"/>
  <c r="E150" i="10"/>
  <c r="E149" i="10"/>
  <c r="D148" i="10"/>
  <c r="Q140" i="10"/>
  <c r="Q38" i="14" s="1"/>
  <c r="R140" i="10"/>
  <c r="R38" i="14" s="1"/>
  <c r="S140" i="10"/>
  <c r="S38" i="14" s="1"/>
  <c r="T140" i="10"/>
  <c r="T38" i="14" s="1"/>
  <c r="Q135" i="10"/>
  <c r="Q37" i="14" s="1"/>
  <c r="R135" i="10"/>
  <c r="R37" i="14" s="1"/>
  <c r="S135" i="10"/>
  <c r="S37" i="14" s="1"/>
  <c r="T135" i="10"/>
  <c r="T37" i="14" s="1"/>
  <c r="Q130" i="10"/>
  <c r="Q36" i="14" s="1"/>
  <c r="R130" i="10"/>
  <c r="R36" i="14" s="1"/>
  <c r="S130" i="10"/>
  <c r="S36" i="14" s="1"/>
  <c r="T130" i="10"/>
  <c r="T36" i="14" s="1"/>
  <c r="O146" i="10"/>
  <c r="P144" i="10" s="1"/>
  <c r="O141" i="10"/>
  <c r="P139" i="10" s="1"/>
  <c r="O136" i="10"/>
  <c r="P134" i="10" s="1"/>
  <c r="O131" i="10"/>
  <c r="P129" i="10" s="1"/>
  <c r="D143" i="10"/>
  <c r="D138" i="10"/>
  <c r="D133" i="10"/>
  <c r="E146" i="10"/>
  <c r="E145" i="10"/>
  <c r="E144" i="10"/>
  <c r="E141" i="10"/>
  <c r="E140" i="10"/>
  <c r="E139" i="10"/>
  <c r="E136" i="10"/>
  <c r="E135" i="10"/>
  <c r="E134" i="10"/>
  <c r="E131" i="10"/>
  <c r="E130" i="10"/>
  <c r="E129" i="10"/>
  <c r="D128" i="10"/>
  <c r="Q108" i="10"/>
  <c r="Q23" i="13" s="1"/>
  <c r="R108" i="10"/>
  <c r="R23" i="13" s="1"/>
  <c r="S108" i="10"/>
  <c r="S23" i="13" s="1"/>
  <c r="T108" i="10"/>
  <c r="T23" i="13" s="1"/>
  <c r="Q112" i="10"/>
  <c r="Q41" i="13" s="1"/>
  <c r="R112" i="10"/>
  <c r="R41" i="13" s="1"/>
  <c r="S112" i="10"/>
  <c r="S41" i="13" s="1"/>
  <c r="T112" i="10"/>
  <c r="T41" i="13" s="1"/>
  <c r="Q115" i="10"/>
  <c r="Q46" i="13" s="1"/>
  <c r="R115" i="10"/>
  <c r="R46" i="13" s="1"/>
  <c r="S115" i="10"/>
  <c r="S46" i="13" s="1"/>
  <c r="T115" i="10"/>
  <c r="T46" i="13" s="1"/>
  <c r="Q118" i="10"/>
  <c r="Q50" i="13" s="1"/>
  <c r="R118" i="10"/>
  <c r="R50" i="13" s="1"/>
  <c r="S118" i="10"/>
  <c r="S50" i="13" s="1"/>
  <c r="T118" i="10"/>
  <c r="T50" i="13" s="1"/>
  <c r="Q121" i="10"/>
  <c r="Q53" i="13" s="1"/>
  <c r="R121" i="10"/>
  <c r="R53" i="13" s="1"/>
  <c r="S121" i="10"/>
  <c r="S53" i="13" s="1"/>
  <c r="T121" i="10"/>
  <c r="T53" i="13" s="1"/>
  <c r="E124" i="10"/>
  <c r="E123" i="10"/>
  <c r="E110" i="10"/>
  <c r="E122" i="10"/>
  <c r="P121" i="10"/>
  <c r="P53" i="13" s="1"/>
  <c r="P118" i="10"/>
  <c r="P50" i="13" s="1"/>
  <c r="P115" i="10"/>
  <c r="P46" i="13" s="1"/>
  <c r="P112" i="10"/>
  <c r="P41" i="13" s="1"/>
  <c r="P108" i="10"/>
  <c r="P23" i="13" s="1"/>
  <c r="O117" i="10"/>
  <c r="O118" i="10"/>
  <c r="O119" i="10"/>
  <c r="O120" i="10"/>
  <c r="O121" i="10"/>
  <c r="O116" i="10"/>
  <c r="O115" i="10"/>
  <c r="O114" i="10"/>
  <c r="O113" i="10"/>
  <c r="O112" i="10"/>
  <c r="O106" i="10"/>
  <c r="O107" i="10"/>
  <c r="O108" i="10"/>
  <c r="O109" i="10"/>
  <c r="E113" i="10"/>
  <c r="E112" i="10"/>
  <c r="D113" i="10"/>
  <c r="D112" i="10"/>
  <c r="E121" i="10"/>
  <c r="E120" i="10"/>
  <c r="E119" i="10"/>
  <c r="E118" i="10"/>
  <c r="E117" i="10"/>
  <c r="E116" i="10"/>
  <c r="E115" i="10"/>
  <c r="E114" i="10"/>
  <c r="D121" i="10"/>
  <c r="D120" i="10"/>
  <c r="D119" i="10"/>
  <c r="D118" i="10"/>
  <c r="D117" i="10"/>
  <c r="D116" i="10"/>
  <c r="D115" i="10"/>
  <c r="D114" i="10"/>
  <c r="E107" i="10"/>
  <c r="E108" i="10"/>
  <c r="E109" i="10"/>
  <c r="E106" i="10"/>
  <c r="D109" i="10"/>
  <c r="D108" i="10"/>
  <c r="D107" i="10"/>
  <c r="D106" i="10"/>
  <c r="O102" i="10"/>
  <c r="D102" i="10"/>
  <c r="Q101" i="10"/>
  <c r="R101" i="10"/>
  <c r="S101" i="10"/>
  <c r="T101" i="10"/>
  <c r="P101" i="10"/>
  <c r="E101" i="10"/>
  <c r="D101" i="10"/>
  <c r="O98" i="10"/>
  <c r="P97" i="10" s="1"/>
  <c r="D94" i="10"/>
  <c r="E98" i="10"/>
  <c r="E97" i="10"/>
  <c r="E96" i="10"/>
  <c r="E95" i="10"/>
  <c r="O92" i="10"/>
  <c r="P91" i="10" s="1"/>
  <c r="P84" i="10"/>
  <c r="P28" i="14" s="1"/>
  <c r="O79" i="10"/>
  <c r="P78" i="10" s="1"/>
  <c r="P27" i="14" s="1"/>
  <c r="O91" i="10"/>
  <c r="P90" i="10" s="1"/>
  <c r="P29" i="14" s="1"/>
  <c r="D88" i="10"/>
  <c r="E92" i="10"/>
  <c r="E91" i="10"/>
  <c r="E90" i="10"/>
  <c r="E89" i="10"/>
  <c r="O86" i="10"/>
  <c r="P83" i="10" s="1"/>
  <c r="D82" i="10"/>
  <c r="E86" i="10"/>
  <c r="E85" i="10"/>
  <c r="E84" i="10"/>
  <c r="E83" i="10"/>
  <c r="O80" i="10"/>
  <c r="P77" i="10" s="1"/>
  <c r="E80" i="10"/>
  <c r="E79" i="10"/>
  <c r="E78" i="10"/>
  <c r="E77" i="10"/>
  <c r="D76" i="10"/>
  <c r="E69" i="10"/>
  <c r="E68" i="10"/>
  <c r="E67" i="10"/>
  <c r="E64" i="10"/>
  <c r="E62" i="10"/>
  <c r="E61" i="10"/>
  <c r="E60" i="10"/>
  <c r="P19" i="12" l="1"/>
  <c r="P13" i="14" s="1"/>
  <c r="P89" i="10"/>
  <c r="P92" i="10" s="1"/>
  <c r="Q90" i="10"/>
  <c r="Q29" i="14" s="1"/>
  <c r="O110" i="10"/>
  <c r="O122" i="10"/>
  <c r="P79" i="10"/>
  <c r="P85" i="10"/>
  <c r="P102" i="10"/>
  <c r="P31" i="14" s="1"/>
  <c r="P95" i="10"/>
  <c r="Q84" i="10" l="1"/>
  <c r="Q28" i="14" s="1"/>
  <c r="P20" i="12"/>
  <c r="P14" i="14" s="1"/>
  <c r="Q78" i="10"/>
  <c r="Q27" i="14" s="1"/>
  <c r="P18" i="12"/>
  <c r="P12" i="14" s="1"/>
  <c r="Q91" i="10"/>
  <c r="P16" i="13"/>
  <c r="Q102" i="10"/>
  <c r="P18" i="13"/>
  <c r="O123" i="10"/>
  <c r="P80" i="10"/>
  <c r="Q89" i="10"/>
  <c r="P86" i="10"/>
  <c r="P15" i="13" s="1"/>
  <c r="R102" i="10" l="1"/>
  <c r="Q31" i="14"/>
  <c r="Q18" i="13"/>
  <c r="R90" i="10"/>
  <c r="R29" i="14" s="1"/>
  <c r="Q77" i="10"/>
  <c r="P14" i="13"/>
  <c r="Q79" i="10"/>
  <c r="Q83" i="10"/>
  <c r="Q85" i="10"/>
  <c r="Q92" i="10"/>
  <c r="R91" i="10" l="1"/>
  <c r="Q16" i="13"/>
  <c r="S102" i="10"/>
  <c r="R31" i="14"/>
  <c r="R18" i="13"/>
  <c r="R78" i="10"/>
  <c r="R27" i="14" s="1"/>
  <c r="Q18" i="12"/>
  <c r="Q12" i="14" s="1"/>
  <c r="R84" i="10"/>
  <c r="R28" i="14" s="1"/>
  <c r="Q20" i="12"/>
  <c r="Q14" i="14" s="1"/>
  <c r="Q80" i="10"/>
  <c r="Q86" i="10"/>
  <c r="R89" i="10"/>
  <c r="R79" i="10" l="1"/>
  <c r="Q14" i="13"/>
  <c r="T102" i="10"/>
  <c r="S31" i="14"/>
  <c r="S18" i="13"/>
  <c r="R85" i="10"/>
  <c r="Q15" i="13"/>
  <c r="S90" i="10"/>
  <c r="S29" i="14" s="1"/>
  <c r="R77" i="10"/>
  <c r="R83" i="10"/>
  <c r="R92" i="10"/>
  <c r="R80" i="10" l="1"/>
  <c r="S79" i="10" s="1"/>
  <c r="R86" i="10"/>
  <c r="S78" i="10"/>
  <c r="S27" i="14" s="1"/>
  <c r="R18" i="12"/>
  <c r="R12" i="14" s="1"/>
  <c r="S84" i="10"/>
  <c r="S28" i="14" s="1"/>
  <c r="R20" i="12"/>
  <c r="R14" i="14" s="1"/>
  <c r="T31" i="14"/>
  <c r="T18" i="13"/>
  <c r="S91" i="10"/>
  <c r="R16" i="13"/>
  <c r="S89" i="10"/>
  <c r="S77" i="10" l="1"/>
  <c r="S80" i="10" s="1"/>
  <c r="R14" i="13"/>
  <c r="T90" i="10"/>
  <c r="T29" i="14" s="1"/>
  <c r="S83" i="10"/>
  <c r="R15" i="13"/>
  <c r="T78" i="10"/>
  <c r="T27" i="14" s="1"/>
  <c r="S18" i="12"/>
  <c r="S12" i="14" s="1"/>
  <c r="S85" i="10"/>
  <c r="S92" i="10"/>
  <c r="S86" i="10" l="1"/>
  <c r="T83" i="10" s="1"/>
  <c r="T91" i="10"/>
  <c r="S16" i="13"/>
  <c r="T77" i="10"/>
  <c r="S14" i="13"/>
  <c r="T84" i="10"/>
  <c r="T28" i="14" s="1"/>
  <c r="S20" i="12"/>
  <c r="S14" i="14" s="1"/>
  <c r="T79" i="10"/>
  <c r="T89" i="10"/>
  <c r="T92" i="10" l="1"/>
  <c r="T16" i="13" s="1"/>
  <c r="T85" i="10"/>
  <c r="T20" i="12" s="1"/>
  <c r="T14" i="14" s="1"/>
  <c r="S15" i="13"/>
  <c r="T80" i="10"/>
  <c r="T14" i="13" s="1"/>
  <c r="T18" i="12"/>
  <c r="T12" i="14" s="1"/>
  <c r="E61" i="12"/>
  <c r="E60" i="12"/>
  <c r="E63" i="12"/>
  <c r="Q57" i="10"/>
  <c r="R57" i="10"/>
  <c r="S57" i="10"/>
  <c r="T57" i="10"/>
  <c r="Q58" i="10"/>
  <c r="R58" i="10"/>
  <c r="S58" i="10"/>
  <c r="T58" i="10"/>
  <c r="P58" i="10"/>
  <c r="P57" i="10"/>
  <c r="E58" i="10"/>
  <c r="E57" i="10"/>
  <c r="D58" i="10"/>
  <c r="D57" i="10"/>
  <c r="T86" i="10" l="1"/>
  <c r="T15" i="13" s="1"/>
  <c r="E54" i="10"/>
  <c r="E53" i="10"/>
  <c r="E52" i="10"/>
  <c r="Q52" i="10"/>
  <c r="Q22" i="12" s="1"/>
  <c r="Q17" i="14" s="1"/>
  <c r="R52" i="10"/>
  <c r="R22" i="12" s="1"/>
  <c r="R17" i="14" s="1"/>
  <c r="S52" i="10"/>
  <c r="S22" i="12" s="1"/>
  <c r="S17" i="14" s="1"/>
  <c r="T52" i="10"/>
  <c r="T22" i="12" s="1"/>
  <c r="T17" i="14" s="1"/>
  <c r="Q53" i="10"/>
  <c r="Q24" i="12" s="1"/>
  <c r="Q19" i="14" s="1"/>
  <c r="R53" i="10"/>
  <c r="R24" i="12" s="1"/>
  <c r="R19" i="14" s="1"/>
  <c r="S53" i="10"/>
  <c r="S24" i="12" s="1"/>
  <c r="S19" i="14" s="1"/>
  <c r="T53" i="10"/>
  <c r="T24" i="12" s="1"/>
  <c r="T19" i="14" s="1"/>
  <c r="Q54" i="10"/>
  <c r="Q26" i="12" s="1"/>
  <c r="Q21" i="14" s="1"/>
  <c r="R54" i="10"/>
  <c r="R26" i="12" s="1"/>
  <c r="R21" i="14" s="1"/>
  <c r="S54" i="10"/>
  <c r="S26" i="12" s="1"/>
  <c r="S21" i="14" s="1"/>
  <c r="T54" i="10"/>
  <c r="T26" i="12" s="1"/>
  <c r="T21" i="14" s="1"/>
  <c r="P54" i="10"/>
  <c r="P26" i="12" s="1"/>
  <c r="P21" i="14" s="1"/>
  <c r="P53" i="10"/>
  <c r="P24" i="12" s="1"/>
  <c r="P19" i="14" s="1"/>
  <c r="P52" i="10"/>
  <c r="P22" i="12" s="1"/>
  <c r="P17" i="14" s="1"/>
  <c r="D54" i="10"/>
  <c r="D53" i="10"/>
  <c r="D52" i="10"/>
  <c r="E49" i="10"/>
  <c r="E48" i="10"/>
  <c r="E47" i="10"/>
  <c r="E46" i="10"/>
  <c r="D48" i="10"/>
  <c r="D47" i="10"/>
  <c r="D46" i="10"/>
  <c r="E44" i="10"/>
  <c r="D44" i="10"/>
  <c r="D32" i="10"/>
  <c r="E32" i="10"/>
  <c r="E40" i="10"/>
  <c r="E39" i="10"/>
  <c r="E38" i="10"/>
  <c r="E37" i="10"/>
  <c r="E36" i="10"/>
  <c r="E35" i="10"/>
  <c r="E34" i="10"/>
  <c r="E41" i="10"/>
  <c r="D35" i="10"/>
  <c r="D36" i="10"/>
  <c r="D37" i="10"/>
  <c r="D38" i="10"/>
  <c r="D39" i="10"/>
  <c r="D40" i="10"/>
  <c r="D34" i="10"/>
  <c r="N20" i="10"/>
  <c r="O20" i="10"/>
  <c r="N21" i="10"/>
  <c r="O21" i="10"/>
  <c r="N22" i="10"/>
  <c r="O22" i="10"/>
  <c r="N23" i="10"/>
  <c r="O23" i="10"/>
  <c r="N24" i="10"/>
  <c r="O24" i="10"/>
  <c r="N25" i="10"/>
  <c r="O25" i="10"/>
  <c r="N26" i="10"/>
  <c r="O26" i="10"/>
  <c r="N27" i="10"/>
  <c r="O27" i="10"/>
  <c r="N28" i="10"/>
  <c r="O28" i="10"/>
  <c r="E29" i="10"/>
  <c r="E28" i="10"/>
  <c r="E27" i="10"/>
  <c r="E26" i="10"/>
  <c r="E25" i="10"/>
  <c r="E24" i="10"/>
  <c r="E23" i="10"/>
  <c r="E22" i="10"/>
  <c r="E21" i="10"/>
  <c r="E20" i="10"/>
  <c r="D21" i="10"/>
  <c r="D22" i="10"/>
  <c r="D23" i="10"/>
  <c r="D24" i="10"/>
  <c r="D25" i="10"/>
  <c r="D26" i="10"/>
  <c r="D27" i="10"/>
  <c r="D28" i="10"/>
  <c r="D20" i="10"/>
  <c r="O13" i="10"/>
  <c r="P13" i="10"/>
  <c r="Q13" i="10"/>
  <c r="R13" i="10"/>
  <c r="S13" i="10"/>
  <c r="T13" i="10"/>
  <c r="N13" i="10"/>
  <c r="E18" i="10"/>
  <c r="Q11" i="10"/>
  <c r="R11" i="10"/>
  <c r="S11" i="10"/>
  <c r="T11" i="10"/>
  <c r="Q12" i="10"/>
  <c r="R12" i="10"/>
  <c r="S12" i="10"/>
  <c r="T12" i="10"/>
  <c r="P12" i="10"/>
  <c r="P11" i="10"/>
  <c r="D12" i="10"/>
  <c r="D11" i="10"/>
  <c r="O15" i="10"/>
  <c r="O16" i="10"/>
  <c r="N16" i="10"/>
  <c r="N15" i="10"/>
  <c r="E16" i="10"/>
  <c r="E15" i="10"/>
  <c r="D16" i="10"/>
  <c r="D15" i="10"/>
  <c r="O115" i="8"/>
  <c r="N115" i="8"/>
  <c r="O137" i="8"/>
  <c r="N137" i="8"/>
  <c r="O136" i="8"/>
  <c r="N136" i="8"/>
  <c r="H128" i="8"/>
  <c r="I342" i="10" s="1"/>
  <c r="H129" i="8"/>
  <c r="I359" i="10" s="1"/>
  <c r="H130" i="8"/>
  <c r="I376" i="10" s="1"/>
  <c r="H131" i="8"/>
  <c r="I393" i="10" s="1"/>
  <c r="H127" i="8"/>
  <c r="I325" i="10" s="1"/>
  <c r="N106" i="8"/>
  <c r="O106" i="8"/>
  <c r="N104" i="8"/>
  <c r="O104" i="8"/>
  <c r="N103" i="8"/>
  <c r="O103" i="8"/>
  <c r="N101" i="8"/>
  <c r="O101" i="8"/>
  <c r="N99" i="8"/>
  <c r="O99" i="8"/>
  <c r="O98" i="8"/>
  <c r="N98" i="8"/>
  <c r="E106" i="8"/>
  <c r="E103" i="8"/>
  <c r="E99" i="8"/>
  <c r="N95" i="8"/>
  <c r="O95" i="8"/>
  <c r="N94" i="8"/>
  <c r="O94" i="8"/>
  <c r="E94" i="8"/>
  <c r="Q345" i="10" l="1"/>
  <c r="R345" i="10"/>
  <c r="T345" i="10"/>
  <c r="S345" i="10"/>
  <c r="P345" i="10"/>
  <c r="Q328" i="10"/>
  <c r="T328" i="10"/>
  <c r="R328" i="10"/>
  <c r="S328" i="10"/>
  <c r="P328" i="10"/>
  <c r="P396" i="10"/>
  <c r="T396" i="10"/>
  <c r="Q396" i="10"/>
  <c r="R396" i="10"/>
  <c r="S396" i="10"/>
  <c r="P379" i="10"/>
  <c r="Q379" i="10"/>
  <c r="R379" i="10"/>
  <c r="T379" i="10"/>
  <c r="S379" i="10"/>
  <c r="P362" i="10"/>
  <c r="Q362" i="10"/>
  <c r="R362" i="10"/>
  <c r="T362" i="10"/>
  <c r="S362" i="10"/>
  <c r="N18" i="10"/>
  <c r="P16" i="10"/>
  <c r="O29" i="10"/>
  <c r="P15" i="10"/>
  <c r="N29" i="10"/>
  <c r="O18" i="10"/>
  <c r="E83" i="8"/>
  <c r="N88" i="8"/>
  <c r="O88" i="8"/>
  <c r="P130" i="10" s="1"/>
  <c r="N89" i="8"/>
  <c r="O89" i="8"/>
  <c r="P135" i="10" s="1"/>
  <c r="N90" i="8"/>
  <c r="O90" i="8"/>
  <c r="P140" i="10" s="1"/>
  <c r="E90" i="8"/>
  <c r="E89" i="8"/>
  <c r="E88" i="8"/>
  <c r="O85" i="8"/>
  <c r="N85" i="8"/>
  <c r="N84" i="8"/>
  <c r="O84" i="8"/>
  <c r="N83" i="8"/>
  <c r="O83" i="8"/>
  <c r="N82" i="8"/>
  <c r="O82" i="8"/>
  <c r="O81" i="8"/>
  <c r="N81" i="8"/>
  <c r="P38" i="14" l="1"/>
  <c r="P141" i="10"/>
  <c r="P37" i="14"/>
  <c r="P136" i="10"/>
  <c r="P36" i="14"/>
  <c r="P131" i="10"/>
  <c r="Q15" i="10"/>
  <c r="P45" i="12"/>
  <c r="Q16" i="10"/>
  <c r="P46" i="12"/>
  <c r="O78" i="8"/>
  <c r="N78" i="8"/>
  <c r="P31" i="13" l="1"/>
  <c r="Q129" i="10"/>
  <c r="Q131" i="10" s="1"/>
  <c r="Q134" i="10"/>
  <c r="Q136" i="10" s="1"/>
  <c r="P32" i="13"/>
  <c r="Q139" i="10"/>
  <c r="Q141" i="10" s="1"/>
  <c r="P33" i="13"/>
  <c r="R16" i="10"/>
  <c r="Q46" i="12"/>
  <c r="R15" i="10"/>
  <c r="R45" i="12" s="1"/>
  <c r="Q45" i="12"/>
  <c r="Q44" i="10"/>
  <c r="P44" i="10"/>
  <c r="P32" i="10"/>
  <c r="P22" i="10"/>
  <c r="P36" i="12" s="1"/>
  <c r="P25" i="10"/>
  <c r="P39" i="12" s="1"/>
  <c r="P20" i="10"/>
  <c r="P34" i="12" s="1"/>
  <c r="P28" i="10"/>
  <c r="P42" i="12" s="1"/>
  <c r="P21" i="10"/>
  <c r="P35" i="12" s="1"/>
  <c r="P23" i="10"/>
  <c r="P37" i="12" s="1"/>
  <c r="P27" i="10"/>
  <c r="P41" i="12" s="1"/>
  <c r="P26" i="10"/>
  <c r="P40" i="12" s="1"/>
  <c r="P24" i="10"/>
  <c r="P38" i="12" s="1"/>
  <c r="N74" i="8"/>
  <c r="O74" i="8"/>
  <c r="N70" i="8"/>
  <c r="O70" i="8"/>
  <c r="O66" i="8"/>
  <c r="N66" i="8"/>
  <c r="O62" i="8"/>
  <c r="N62" i="8"/>
  <c r="E72" i="8"/>
  <c r="E68" i="8"/>
  <c r="E64" i="8"/>
  <c r="O48" i="8"/>
  <c r="N48" i="8"/>
  <c r="E50" i="8"/>
  <c r="E49" i="8"/>
  <c r="E48" i="8"/>
  <c r="O45" i="8"/>
  <c r="N45" i="8"/>
  <c r="N44" i="8"/>
  <c r="O44" i="8"/>
  <c r="O43" i="8"/>
  <c r="N43" i="8"/>
  <c r="O26" i="8"/>
  <c r="N26" i="8"/>
  <c r="O25" i="8"/>
  <c r="N25" i="8"/>
  <c r="M43" i="12"/>
  <c r="M46" i="12" s="1"/>
  <c r="M98" i="6"/>
  <c r="O39" i="13"/>
  <c r="N39" i="13"/>
  <c r="O50" i="13"/>
  <c r="N50" i="13"/>
  <c r="O53" i="13"/>
  <c r="N53" i="13"/>
  <c r="O49" i="13"/>
  <c r="N49" i="13"/>
  <c r="E49" i="13"/>
  <c r="O46" i="13"/>
  <c r="N46" i="13"/>
  <c r="N45" i="13"/>
  <c r="O45" i="13"/>
  <c r="O48" i="13"/>
  <c r="N48" i="13"/>
  <c r="E48" i="13"/>
  <c r="O47" i="13"/>
  <c r="N47" i="13"/>
  <c r="E46" i="13"/>
  <c r="E47" i="13"/>
  <c r="O38" i="13"/>
  <c r="N38" i="13"/>
  <c r="N43" i="13" s="1"/>
  <c r="O18" i="13"/>
  <c r="O19" i="13" s="1"/>
  <c r="N18" i="13"/>
  <c r="N19" i="13" s="1"/>
  <c r="O24" i="13"/>
  <c r="N24" i="13"/>
  <c r="O22" i="13"/>
  <c r="N22" i="13"/>
  <c r="O23" i="13"/>
  <c r="N23" i="13"/>
  <c r="E23" i="13"/>
  <c r="E24" i="13"/>
  <c r="O25" i="12"/>
  <c r="O26" i="12"/>
  <c r="O50" i="8" s="1"/>
  <c r="N26" i="12"/>
  <c r="N50" i="8" s="1"/>
  <c r="E26" i="12"/>
  <c r="N25" i="12"/>
  <c r="O24" i="12"/>
  <c r="O49" i="8" s="1"/>
  <c r="O23" i="12"/>
  <c r="N24" i="12"/>
  <c r="N49" i="8" s="1"/>
  <c r="N23" i="12"/>
  <c r="E24" i="12"/>
  <c r="O98" i="6"/>
  <c r="N98" i="6"/>
  <c r="O35" i="13"/>
  <c r="N35" i="13"/>
  <c r="E56" i="13"/>
  <c r="E55" i="13"/>
  <c r="E54" i="13"/>
  <c r="E53" i="13"/>
  <c r="E52" i="13"/>
  <c r="E51" i="13"/>
  <c r="E50" i="13"/>
  <c r="E45" i="13"/>
  <c r="E43" i="13"/>
  <c r="E42" i="13"/>
  <c r="E41" i="13"/>
  <c r="E40" i="13"/>
  <c r="E39" i="13"/>
  <c r="E38" i="13"/>
  <c r="E35" i="13"/>
  <c r="E34" i="13"/>
  <c r="E33" i="13"/>
  <c r="E32" i="13"/>
  <c r="E31" i="13"/>
  <c r="E27" i="13"/>
  <c r="E26" i="13"/>
  <c r="E25" i="13"/>
  <c r="E22" i="13"/>
  <c r="E21" i="13"/>
  <c r="E19" i="13"/>
  <c r="E18" i="13"/>
  <c r="E17" i="13"/>
  <c r="E16" i="13"/>
  <c r="E15" i="13"/>
  <c r="E14" i="13"/>
  <c r="O15" i="12"/>
  <c r="O17" i="12" s="1"/>
  <c r="O21" i="12" s="1"/>
  <c r="N15" i="12"/>
  <c r="N17" i="12" s="1"/>
  <c r="N21" i="12" s="1"/>
  <c r="E29" i="12"/>
  <c r="E28" i="12"/>
  <c r="E27" i="12"/>
  <c r="E25" i="12"/>
  <c r="E23" i="12"/>
  <c r="E22" i="12"/>
  <c r="E21" i="12"/>
  <c r="E20" i="12"/>
  <c r="E19" i="12"/>
  <c r="E18" i="12"/>
  <c r="E69" i="12"/>
  <c r="O69" i="12"/>
  <c r="N69" i="12"/>
  <c r="E68" i="12"/>
  <c r="E67" i="12"/>
  <c r="E66" i="12"/>
  <c r="E17" i="12"/>
  <c r="E16" i="12"/>
  <c r="O63" i="12"/>
  <c r="N63" i="12"/>
  <c r="E62" i="12"/>
  <c r="E15" i="12"/>
  <c r="O57" i="12"/>
  <c r="N57" i="12"/>
  <c r="E57" i="12"/>
  <c r="E14" i="12"/>
  <c r="O43" i="12"/>
  <c r="O13" i="8" s="1"/>
  <c r="N43" i="12"/>
  <c r="N40" i="8" s="1"/>
  <c r="E43" i="12"/>
  <c r="E42" i="12"/>
  <c r="E41" i="12"/>
  <c r="E40" i="12"/>
  <c r="E39" i="12"/>
  <c r="E38" i="12"/>
  <c r="E37" i="12"/>
  <c r="E36" i="12"/>
  <c r="E35" i="12"/>
  <c r="E34" i="12"/>
  <c r="E51" i="12"/>
  <c r="E52" i="12"/>
  <c r="E53" i="12"/>
  <c r="E54" i="12"/>
  <c r="E55" i="12"/>
  <c r="E56" i="12"/>
  <c r="E50" i="12"/>
  <c r="E33" i="12"/>
  <c r="E13" i="12"/>
  <c r="O6" i="16"/>
  <c r="P6" i="16" s="1"/>
  <c r="Q6" i="16" s="1"/>
  <c r="R6" i="16" s="1"/>
  <c r="S6" i="16" s="1"/>
  <c r="T6" i="16" s="1"/>
  <c r="B2" i="16"/>
  <c r="O6" i="15"/>
  <c r="P6" i="15" s="1"/>
  <c r="Q6" i="15" s="1"/>
  <c r="R6" i="15" s="1"/>
  <c r="S6" i="15" s="1"/>
  <c r="T6" i="15" s="1"/>
  <c r="B2" i="15"/>
  <c r="O6" i="14"/>
  <c r="P6" i="14" s="1"/>
  <c r="Q6" i="14" s="1"/>
  <c r="R6" i="14" s="1"/>
  <c r="S6" i="14" s="1"/>
  <c r="T6" i="14" s="1"/>
  <c r="B2" i="14"/>
  <c r="O6" i="13"/>
  <c r="N6" i="13" s="1"/>
  <c r="M6" i="13" s="1"/>
  <c r="B2" i="13"/>
  <c r="O6" i="12"/>
  <c r="P6" i="12" s="1"/>
  <c r="Q6" i="12" s="1"/>
  <c r="R6" i="12" s="1"/>
  <c r="S6" i="12" s="1"/>
  <c r="T6" i="12" s="1"/>
  <c r="B2" i="12"/>
  <c r="O6" i="11"/>
  <c r="P6" i="11" s="1"/>
  <c r="Q6" i="11" s="1"/>
  <c r="R6" i="11" s="1"/>
  <c r="S6" i="11" s="1"/>
  <c r="T6" i="11" s="1"/>
  <c r="B2" i="11"/>
  <c r="O6" i="10"/>
  <c r="B2" i="10"/>
  <c r="O6" i="9"/>
  <c r="P6" i="9" s="1"/>
  <c r="Q6" i="9" s="1"/>
  <c r="R6" i="9" s="1"/>
  <c r="S6" i="9" s="1"/>
  <c r="T6" i="9" s="1"/>
  <c r="B2" i="9"/>
  <c r="E95" i="6"/>
  <c r="E94" i="6"/>
  <c r="E92" i="6"/>
  <c r="E91" i="6"/>
  <c r="E90" i="6"/>
  <c r="E89" i="6"/>
  <c r="E88" i="6"/>
  <c r="E87" i="6"/>
  <c r="E86" i="6"/>
  <c r="E85" i="6"/>
  <c r="E84" i="6"/>
  <c r="E79" i="6"/>
  <c r="E78" i="6"/>
  <c r="E77" i="6"/>
  <c r="E76" i="6"/>
  <c r="E75" i="6"/>
  <c r="E74" i="6"/>
  <c r="E73" i="6"/>
  <c r="E72" i="6"/>
  <c r="E71" i="6"/>
  <c r="E70" i="6"/>
  <c r="E68" i="6"/>
  <c r="E67" i="6"/>
  <c r="E66" i="6"/>
  <c r="E65" i="6"/>
  <c r="E64" i="6"/>
  <c r="E63" i="6"/>
  <c r="E62" i="6"/>
  <c r="E61" i="6"/>
  <c r="E58" i="6"/>
  <c r="E57" i="6"/>
  <c r="E56" i="6"/>
  <c r="E55" i="6"/>
  <c r="E54" i="6"/>
  <c r="E50" i="6"/>
  <c r="E49" i="6"/>
  <c r="E48" i="6"/>
  <c r="E47" i="6"/>
  <c r="E46" i="6"/>
  <c r="E45" i="6"/>
  <c r="E43" i="6"/>
  <c r="E42" i="6"/>
  <c r="E41" i="6"/>
  <c r="E40" i="6"/>
  <c r="E39" i="6"/>
  <c r="E38" i="6"/>
  <c r="E37" i="6"/>
  <c r="E36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11" i="6"/>
  <c r="F24" i="4"/>
  <c r="O6" i="8"/>
  <c r="P6" i="8" s="1"/>
  <c r="Q6" i="8" s="1"/>
  <c r="R6" i="8" s="1"/>
  <c r="S6" i="8" s="1"/>
  <c r="T6" i="8" s="1"/>
  <c r="B2" i="8"/>
  <c r="B2" i="4"/>
  <c r="O6" i="6"/>
  <c r="P6" i="6" s="1"/>
  <c r="Q6" i="6" s="1"/>
  <c r="R6" i="6" s="1"/>
  <c r="S6" i="6" s="1"/>
  <c r="T6" i="6" s="1"/>
  <c r="B2" i="6"/>
  <c r="B2" i="7"/>
  <c r="B2" i="3"/>
  <c r="B14" i="1"/>
  <c r="B11" i="1"/>
  <c r="B10" i="1"/>
  <c r="F16" i="4"/>
  <c r="B13" i="1" s="1"/>
  <c r="P35" i="10" l="1"/>
  <c r="P51" i="12" s="1"/>
  <c r="P36" i="10"/>
  <c r="P52" i="12" s="1"/>
  <c r="P38" i="10"/>
  <c r="P54" i="12" s="1"/>
  <c r="P40" i="10"/>
  <c r="P56" i="12" s="1"/>
  <c r="P98" i="10" s="1"/>
  <c r="Q95" i="10" s="1"/>
  <c r="P39" i="10"/>
  <c r="P55" i="12" s="1"/>
  <c r="P34" i="10"/>
  <c r="P37" i="10"/>
  <c r="P53" i="12" s="1"/>
  <c r="P46" i="10"/>
  <c r="P48" i="10"/>
  <c r="P62" i="12" s="1"/>
  <c r="P47" i="10"/>
  <c r="P61" i="12" s="1"/>
  <c r="P113" i="10" s="1"/>
  <c r="P42" i="13" s="1"/>
  <c r="Q46" i="10"/>
  <c r="Q47" i="10"/>
  <c r="Q61" i="12" s="1"/>
  <c r="Q113" i="10" s="1"/>
  <c r="Q48" i="10"/>
  <c r="Q62" i="12" s="1"/>
  <c r="R139" i="10"/>
  <c r="R141" i="10" s="1"/>
  <c r="Q33" i="13"/>
  <c r="Q32" i="13"/>
  <c r="R134" i="10"/>
  <c r="R136" i="10" s="1"/>
  <c r="R129" i="10"/>
  <c r="R131" i="10" s="1"/>
  <c r="Q31" i="13"/>
  <c r="O391" i="10"/>
  <c r="O340" i="10"/>
  <c r="O357" i="10"/>
  <c r="O374" i="10"/>
  <c r="R243" i="10"/>
  <c r="S260" i="10"/>
  <c r="O272" i="10"/>
  <c r="Q277" i="10"/>
  <c r="R311" i="10"/>
  <c r="Q294" i="10"/>
  <c r="S294" i="10"/>
  <c r="P260" i="10"/>
  <c r="T260" i="10"/>
  <c r="S243" i="10"/>
  <c r="T294" i="10"/>
  <c r="R277" i="10"/>
  <c r="S311" i="10"/>
  <c r="P243" i="10"/>
  <c r="T243" i="10"/>
  <c r="R226" i="10"/>
  <c r="T311" i="10"/>
  <c r="P294" i="10"/>
  <c r="O255" i="10"/>
  <c r="Q260" i="10"/>
  <c r="S277" i="10"/>
  <c r="O323" i="10"/>
  <c r="P226" i="10"/>
  <c r="T226" i="10"/>
  <c r="Q311" i="10"/>
  <c r="P277" i="10"/>
  <c r="T277" i="10"/>
  <c r="P311" i="10"/>
  <c r="O238" i="10"/>
  <c r="Q243" i="10"/>
  <c r="R260" i="10"/>
  <c r="R294" i="10"/>
  <c r="O289" i="10"/>
  <c r="O221" i="10"/>
  <c r="Q226" i="10"/>
  <c r="O306" i="10"/>
  <c r="S226" i="10"/>
  <c r="Q209" i="10"/>
  <c r="P209" i="10"/>
  <c r="S209" i="10"/>
  <c r="O204" i="10"/>
  <c r="T209" i="10"/>
  <c r="R209" i="10"/>
  <c r="P6" i="10"/>
  <c r="R192" i="10"/>
  <c r="Q192" i="10"/>
  <c r="O187" i="10"/>
  <c r="T192" i="10"/>
  <c r="P192" i="10"/>
  <c r="S192" i="10"/>
  <c r="R22" i="10"/>
  <c r="R36" i="12" s="1"/>
  <c r="S15" i="10"/>
  <c r="S45" i="12" s="1"/>
  <c r="S16" i="10"/>
  <c r="R46" i="12"/>
  <c r="N6" i="14"/>
  <c r="M6" i="14" s="1"/>
  <c r="Q28" i="10"/>
  <c r="Q42" i="12" s="1"/>
  <c r="Q20" i="10"/>
  <c r="Q34" i="12" s="1"/>
  <c r="Q26" i="10"/>
  <c r="Q40" i="12" s="1"/>
  <c r="Q23" i="10"/>
  <c r="Q37" i="12" s="1"/>
  <c r="Q21" i="10"/>
  <c r="Q35" i="12" s="1"/>
  <c r="Q24" i="10"/>
  <c r="Q38" i="12" s="1"/>
  <c r="Q27" i="10"/>
  <c r="Q41" i="12" s="1"/>
  <c r="P43" i="12"/>
  <c r="P13" i="12" s="1"/>
  <c r="P12" i="18" s="1"/>
  <c r="P11" i="17" s="1" a="1"/>
  <c r="P11" i="17" s="1"/>
  <c r="Q22" i="10"/>
  <c r="Q36" i="12" s="1"/>
  <c r="Q32" i="10"/>
  <c r="Q25" i="10"/>
  <c r="Q39" i="12" s="1"/>
  <c r="O12" i="8"/>
  <c r="O33" i="8"/>
  <c r="O39" i="8"/>
  <c r="N19" i="8"/>
  <c r="O19" i="8"/>
  <c r="O11" i="8"/>
  <c r="N33" i="8"/>
  <c r="N39" i="8"/>
  <c r="N12" i="8"/>
  <c r="N18" i="8"/>
  <c r="O18" i="8"/>
  <c r="N29" i="8"/>
  <c r="O32" i="8"/>
  <c r="N17" i="8"/>
  <c r="O17" i="8"/>
  <c r="O29" i="8"/>
  <c r="N32" i="8"/>
  <c r="N16" i="8"/>
  <c r="O16" i="8"/>
  <c r="O35" i="8"/>
  <c r="O31" i="8"/>
  <c r="N38" i="8"/>
  <c r="N11" i="8"/>
  <c r="N46" i="12"/>
  <c r="N15" i="8"/>
  <c r="O15" i="8"/>
  <c r="N35" i="8"/>
  <c r="N31" i="8"/>
  <c r="O38" i="8"/>
  <c r="O46" i="12"/>
  <c r="N14" i="8"/>
  <c r="O14" i="8"/>
  <c r="O34" i="8"/>
  <c r="O30" i="8"/>
  <c r="O40" i="8"/>
  <c r="N13" i="8"/>
  <c r="N34" i="8"/>
  <c r="N30" i="8"/>
  <c r="P29" i="10"/>
  <c r="Q20" i="8"/>
  <c r="P20" i="8"/>
  <c r="N27" i="12"/>
  <c r="O27" i="12"/>
  <c r="O43" i="13"/>
  <c r="O54" i="13"/>
  <c r="N54" i="13"/>
  <c r="N55" i="13" s="1"/>
  <c r="N56" i="13" s="1"/>
  <c r="O27" i="13"/>
  <c r="O28" i="13" s="1"/>
  <c r="N27" i="13"/>
  <c r="N28" i="13" s="1"/>
  <c r="P6" i="13"/>
  <c r="Q6" i="13" s="1"/>
  <c r="R6" i="13" s="1"/>
  <c r="S6" i="13" s="1"/>
  <c r="T6" i="13" s="1"/>
  <c r="N6" i="16"/>
  <c r="M6" i="16" s="1"/>
  <c r="N6" i="15"/>
  <c r="M6" i="15" s="1"/>
  <c r="N6" i="12"/>
  <c r="M6" i="12" s="1"/>
  <c r="N6" i="11"/>
  <c r="M6" i="11" s="1"/>
  <c r="N6" i="10"/>
  <c r="M6" i="10" s="1"/>
  <c r="N6" i="9"/>
  <c r="M6" i="9" s="1"/>
  <c r="N6" i="8"/>
  <c r="M6" i="8" s="1"/>
  <c r="N6" i="6"/>
  <c r="M6" i="6" s="1"/>
  <c r="P41" i="10" l="1"/>
  <c r="Q35" i="10"/>
  <c r="Q51" i="12" s="1"/>
  <c r="Q40" i="10"/>
  <c r="Q56" i="12" s="1"/>
  <c r="Q98" i="10" s="1"/>
  <c r="R97" i="10" s="1"/>
  <c r="R19" i="12" s="1"/>
  <c r="R13" i="14" s="1"/>
  <c r="Q37" i="10"/>
  <c r="Q53" i="12" s="1"/>
  <c r="Q38" i="10"/>
  <c r="Q54" i="12" s="1"/>
  <c r="Q34" i="10"/>
  <c r="Q39" i="10"/>
  <c r="Q55" i="12" s="1"/>
  <c r="Q36" i="10"/>
  <c r="Q52" i="12" s="1"/>
  <c r="P50" i="12"/>
  <c r="P57" i="12" s="1"/>
  <c r="P14" i="12" s="1"/>
  <c r="Q49" i="10"/>
  <c r="P49" i="10"/>
  <c r="P12" i="17"/>
  <c r="Q60" i="12"/>
  <c r="Q63" i="12" s="1"/>
  <c r="Q16" i="12" s="1"/>
  <c r="Q15" i="18" s="1"/>
  <c r="P23" i="15"/>
  <c r="P27" i="15"/>
  <c r="P15" i="15"/>
  <c r="P31" i="15"/>
  <c r="P57" i="15"/>
  <c r="P19" i="15"/>
  <c r="P11" i="15"/>
  <c r="P184" i="10"/>
  <c r="P160" i="10"/>
  <c r="P39" i="13" s="1"/>
  <c r="O20" i="8"/>
  <c r="N20" i="8"/>
  <c r="S129" i="10"/>
  <c r="S131" i="10" s="1"/>
  <c r="R31" i="13"/>
  <c r="S134" i="10"/>
  <c r="S136" i="10" s="1"/>
  <c r="R32" i="13"/>
  <c r="R33" i="13"/>
  <c r="S139" i="10"/>
  <c r="S141" i="10" s="1"/>
  <c r="P394" i="10"/>
  <c r="P390" i="10" s="1"/>
  <c r="P342" i="10"/>
  <c r="P338" i="10" s="1"/>
  <c r="P376" i="10"/>
  <c r="P372" i="10" s="1"/>
  <c r="P360" i="10"/>
  <c r="P356" i="10" s="1"/>
  <c r="P343" i="10"/>
  <c r="P339" i="10" s="1"/>
  <c r="P377" i="10"/>
  <c r="P373" i="10" s="1"/>
  <c r="P393" i="10"/>
  <c r="P389" i="10" s="1"/>
  <c r="P359" i="10"/>
  <c r="P355" i="10" s="1"/>
  <c r="P371" i="10"/>
  <c r="P354" i="10"/>
  <c r="P337" i="10"/>
  <c r="P388" i="10"/>
  <c r="P320" i="10"/>
  <c r="P235" i="10"/>
  <c r="P224" i="10"/>
  <c r="P220" i="10" s="1"/>
  <c r="P308" i="10"/>
  <c r="P304" i="10" s="1"/>
  <c r="P326" i="10"/>
  <c r="P322" i="10" s="1"/>
  <c r="P274" i="10"/>
  <c r="P270" i="10" s="1"/>
  <c r="P258" i="10"/>
  <c r="P254" i="10" s="1"/>
  <c r="P223" i="10"/>
  <c r="P219" i="10" s="1"/>
  <c r="P292" i="10"/>
  <c r="P288" i="10" s="1"/>
  <c r="P241" i="10"/>
  <c r="P237" i="10" s="1"/>
  <c r="P309" i="10"/>
  <c r="P305" i="10" s="1"/>
  <c r="P257" i="10"/>
  <c r="P253" i="10" s="1"/>
  <c r="P275" i="10"/>
  <c r="P271" i="10" s="1"/>
  <c r="P240" i="10"/>
  <c r="P236" i="10" s="1"/>
  <c r="P325" i="10"/>
  <c r="P321" i="10" s="1"/>
  <c r="P291" i="10"/>
  <c r="P287" i="10" s="1"/>
  <c r="P303" i="10"/>
  <c r="P252" i="10"/>
  <c r="P269" i="10"/>
  <c r="P218" i="10"/>
  <c r="P286" i="10"/>
  <c r="P206" i="10"/>
  <c r="P202" i="10" s="1"/>
  <c r="P207" i="10"/>
  <c r="P203" i="10" s="1"/>
  <c r="P201" i="10"/>
  <c r="R27" i="10"/>
  <c r="R41" i="12" s="1"/>
  <c r="Q6" i="10"/>
  <c r="P189" i="10"/>
  <c r="P185" i="10" s="1"/>
  <c r="P190" i="10"/>
  <c r="P186" i="10" s="1"/>
  <c r="R28" i="10"/>
  <c r="R42" i="12" s="1"/>
  <c r="S24" i="10"/>
  <c r="S38" i="12" s="1"/>
  <c r="R23" i="10"/>
  <c r="R37" i="12" s="1"/>
  <c r="R21" i="10"/>
  <c r="R35" i="12" s="1"/>
  <c r="R26" i="10"/>
  <c r="R40" i="12" s="1"/>
  <c r="R25" i="10"/>
  <c r="R39" i="12" s="1"/>
  <c r="R44" i="10"/>
  <c r="R24" i="10"/>
  <c r="R38" i="12" s="1"/>
  <c r="R32" i="10"/>
  <c r="R20" i="10"/>
  <c r="R34" i="12" s="1"/>
  <c r="T15" i="10"/>
  <c r="T45" i="12" s="1"/>
  <c r="Q43" i="12"/>
  <c r="Q13" i="12" s="1"/>
  <c r="Q12" i="18" s="1"/>
  <c r="Q11" i="17" s="1" a="1"/>
  <c r="Q11" i="17" s="1"/>
  <c r="Q12" i="17" s="1"/>
  <c r="Q42" i="13"/>
  <c r="T16" i="10"/>
  <c r="T46" i="12" s="1"/>
  <c r="S46" i="12"/>
  <c r="Q97" i="10"/>
  <c r="P17" i="13"/>
  <c r="P19" i="13" s="1"/>
  <c r="P21" i="18" s="1"/>
  <c r="P96" i="10"/>
  <c r="P30" i="14" s="1"/>
  <c r="P33" i="14" s="1"/>
  <c r="P29" i="18" s="1"/>
  <c r="P119" i="10"/>
  <c r="P51" i="13" s="1"/>
  <c r="P107" i="10"/>
  <c r="P22" i="13" s="1"/>
  <c r="Q29" i="10"/>
  <c r="P60" i="12"/>
  <c r="P63" i="12" s="1"/>
  <c r="P16" i="12" s="1"/>
  <c r="O29" i="12"/>
  <c r="O102" i="8"/>
  <c r="O105" i="8"/>
  <c r="O53" i="8"/>
  <c r="N29" i="12"/>
  <c r="N102" i="8"/>
  <c r="N105" i="8"/>
  <c r="N53" i="8"/>
  <c r="S20" i="8"/>
  <c r="R20" i="8"/>
  <c r="O55" i="13"/>
  <c r="O56" i="13" s="1"/>
  <c r="N10" i="13"/>
  <c r="R95" i="10" l="1"/>
  <c r="R35" i="10"/>
  <c r="R51" i="12" s="1"/>
  <c r="R40" i="10"/>
  <c r="R56" i="12" s="1"/>
  <c r="R98" i="10" s="1"/>
  <c r="S95" i="10" s="1"/>
  <c r="R38" i="10"/>
  <c r="R54" i="12" s="1"/>
  <c r="R36" i="10"/>
  <c r="R52" i="12" s="1"/>
  <c r="R37" i="10"/>
  <c r="R53" i="12" s="1"/>
  <c r="R34" i="10"/>
  <c r="R39" i="10"/>
  <c r="R55" i="12" s="1"/>
  <c r="Q17" i="13"/>
  <c r="Q19" i="13" s="1"/>
  <c r="Q21" i="18" s="1"/>
  <c r="R46" i="10"/>
  <c r="R47" i="10"/>
  <c r="R61" i="12" s="1"/>
  <c r="R113" i="10" s="1"/>
  <c r="R42" i="13" s="1"/>
  <c r="R48" i="10"/>
  <c r="R62" i="12" s="1"/>
  <c r="P18" i="15"/>
  <c r="P17" i="15" s="1"/>
  <c r="P15" i="18"/>
  <c r="P14" i="15"/>
  <c r="P13" i="15" s="1"/>
  <c r="P13" i="18"/>
  <c r="Q50" i="12"/>
  <c r="Q57" i="12" s="1"/>
  <c r="Q14" i="12" s="1"/>
  <c r="Q13" i="18" s="1"/>
  <c r="Q41" i="10"/>
  <c r="Q31" i="15"/>
  <c r="Q15" i="15"/>
  <c r="Q27" i="15"/>
  <c r="Q19" i="15"/>
  <c r="Q57" i="15"/>
  <c r="Q11" i="15"/>
  <c r="Q23" i="15"/>
  <c r="Q109" i="10"/>
  <c r="Q24" i="13" s="1"/>
  <c r="Q18" i="15"/>
  <c r="O10" i="13"/>
  <c r="P158" i="10"/>
  <c r="P42" i="14" s="1"/>
  <c r="P162" i="10"/>
  <c r="P180" i="10" s="1"/>
  <c r="Q157" i="10"/>
  <c r="Q159" i="10" s="1"/>
  <c r="Q43" i="14" s="1"/>
  <c r="S22" i="10"/>
  <c r="S36" i="12" s="1"/>
  <c r="P391" i="10"/>
  <c r="P402" i="10" s="1"/>
  <c r="P175" i="10"/>
  <c r="P40" i="14" s="1"/>
  <c r="T139" i="10"/>
  <c r="T141" i="10" s="1"/>
  <c r="T33" i="13" s="1"/>
  <c r="S33" i="13"/>
  <c r="P374" i="10"/>
  <c r="P385" i="10" s="1"/>
  <c r="T134" i="10"/>
  <c r="T136" i="10" s="1"/>
  <c r="T32" i="13" s="1"/>
  <c r="S32" i="13"/>
  <c r="T129" i="10"/>
  <c r="T131" i="10" s="1"/>
  <c r="T31" i="13" s="1"/>
  <c r="S31" i="13"/>
  <c r="P176" i="10"/>
  <c r="P340" i="10"/>
  <c r="P351" i="10" s="1"/>
  <c r="Q342" i="10"/>
  <c r="Q338" i="10" s="1"/>
  <c r="Q376" i="10"/>
  <c r="Q372" i="10" s="1"/>
  <c r="Q394" i="10"/>
  <c r="Q390" i="10" s="1"/>
  <c r="Q393" i="10"/>
  <c r="Q389" i="10" s="1"/>
  <c r="Q360" i="10"/>
  <c r="Q356" i="10" s="1"/>
  <c r="Q359" i="10"/>
  <c r="Q355" i="10" s="1"/>
  <c r="Q343" i="10"/>
  <c r="Q339" i="10" s="1"/>
  <c r="Q377" i="10"/>
  <c r="Q373" i="10" s="1"/>
  <c r="P357" i="10"/>
  <c r="P323" i="10"/>
  <c r="P255" i="10"/>
  <c r="Q258" i="10"/>
  <c r="Q254" i="10" s="1"/>
  <c r="Q325" i="10"/>
  <c r="Q321" i="10" s="1"/>
  <c r="Q240" i="10"/>
  <c r="Q236" i="10" s="1"/>
  <c r="Q309" i="10"/>
  <c r="Q305" i="10" s="1"/>
  <c r="Q291" i="10"/>
  <c r="Q287" i="10" s="1"/>
  <c r="Q241" i="10"/>
  <c r="Q237" i="10" s="1"/>
  <c r="Q274" i="10"/>
  <c r="Q270" i="10" s="1"/>
  <c r="Q308" i="10"/>
  <c r="Q304" i="10" s="1"/>
  <c r="Q224" i="10"/>
  <c r="Q220" i="10" s="1"/>
  <c r="Q223" i="10"/>
  <c r="Q219" i="10" s="1"/>
  <c r="Q275" i="10"/>
  <c r="Q271" i="10" s="1"/>
  <c r="Q326" i="10"/>
  <c r="Q322" i="10" s="1"/>
  <c r="Q257" i="10"/>
  <c r="Q253" i="10" s="1"/>
  <c r="Q292" i="10"/>
  <c r="Q288" i="10" s="1"/>
  <c r="P306" i="10"/>
  <c r="P221" i="10"/>
  <c r="P238" i="10"/>
  <c r="S20" i="10"/>
  <c r="S34" i="12" s="1"/>
  <c r="P289" i="10"/>
  <c r="P272" i="10"/>
  <c r="P204" i="10"/>
  <c r="Q207" i="10"/>
  <c r="Q203" i="10" s="1"/>
  <c r="Q206" i="10"/>
  <c r="Q202" i="10" s="1"/>
  <c r="P187" i="10"/>
  <c r="R6" i="10"/>
  <c r="Q189" i="10"/>
  <c r="Q185" i="10" s="1"/>
  <c r="Q190" i="10"/>
  <c r="Q186" i="10" s="1"/>
  <c r="S25" i="10"/>
  <c r="S39" i="12" s="1"/>
  <c r="S27" i="10"/>
  <c r="S41" i="12" s="1"/>
  <c r="S28" i="10"/>
  <c r="S42" i="12" s="1"/>
  <c r="S21" i="10"/>
  <c r="S35" i="12" s="1"/>
  <c r="S44" i="10"/>
  <c r="S26" i="10"/>
  <c r="S40" i="12" s="1"/>
  <c r="S23" i="10"/>
  <c r="S37" i="12" s="1"/>
  <c r="S32" i="10"/>
  <c r="R43" i="12"/>
  <c r="R13" i="12" s="1"/>
  <c r="R12" i="18" s="1"/>
  <c r="R11" i="17" s="1" a="1"/>
  <c r="R11" i="17" s="1"/>
  <c r="R12" i="17" s="1"/>
  <c r="R29" i="10"/>
  <c r="Q116" i="10"/>
  <c r="Q48" i="13" s="1"/>
  <c r="Q96" i="10"/>
  <c r="Q30" i="14" s="1"/>
  <c r="Q19" i="12"/>
  <c r="Q13" i="14" s="1"/>
  <c r="Q160" i="10"/>
  <c r="R157" i="10" s="1"/>
  <c r="R159" i="10" s="1"/>
  <c r="R43" i="14" s="1"/>
  <c r="Q107" i="10"/>
  <c r="Q22" i="13" s="1"/>
  <c r="Q119" i="10"/>
  <c r="Q51" i="13" s="1"/>
  <c r="P15" i="12"/>
  <c r="P106" i="10"/>
  <c r="P21" i="13" s="1"/>
  <c r="P114" i="10"/>
  <c r="P45" i="13" s="1"/>
  <c r="P109" i="10"/>
  <c r="P24" i="13" s="1"/>
  <c r="P116" i="10"/>
  <c r="P48" i="13" s="1"/>
  <c r="N11" i="12"/>
  <c r="N100" i="8"/>
  <c r="O11" i="12"/>
  <c r="O100" i="8"/>
  <c r="T20" i="8"/>
  <c r="S35" i="10" l="1"/>
  <c r="S51" i="12" s="1"/>
  <c r="S38" i="10"/>
  <c r="S54" i="12" s="1"/>
  <c r="S36" i="10"/>
  <c r="S52" i="12" s="1"/>
  <c r="S37" i="10"/>
  <c r="S53" i="12" s="1"/>
  <c r="S34" i="10"/>
  <c r="S50" i="12" s="1"/>
  <c r="S40" i="10"/>
  <c r="S56" i="12" s="1"/>
  <c r="S98" i="10" s="1"/>
  <c r="T97" i="10" s="1"/>
  <c r="T19" i="12" s="1"/>
  <c r="T13" i="14" s="1"/>
  <c r="S39" i="10"/>
  <c r="S55" i="12" s="1"/>
  <c r="S46" i="10"/>
  <c r="S48" i="10"/>
  <c r="S62" i="12" s="1"/>
  <c r="S47" i="10"/>
  <c r="S61" i="12" s="1"/>
  <c r="S113" i="10" s="1"/>
  <c r="S42" i="13" s="1"/>
  <c r="R49" i="10"/>
  <c r="P17" i="12"/>
  <c r="P16" i="18" s="1"/>
  <c r="P14" i="18"/>
  <c r="R50" i="12"/>
  <c r="R57" i="12" s="1"/>
  <c r="R14" i="12" s="1"/>
  <c r="R13" i="18" s="1"/>
  <c r="R41" i="10"/>
  <c r="R60" i="12"/>
  <c r="R63" i="12" s="1"/>
  <c r="R16" i="12" s="1"/>
  <c r="R15" i="18" s="1"/>
  <c r="Q15" i="12"/>
  <c r="Q14" i="15"/>
  <c r="Q13" i="15" s="1"/>
  <c r="Q17" i="15"/>
  <c r="R31" i="15"/>
  <c r="R15" i="15"/>
  <c r="R11" i="15"/>
  <c r="R19" i="15"/>
  <c r="R23" i="15"/>
  <c r="R27" i="15"/>
  <c r="R57" i="15"/>
  <c r="Q388" i="10"/>
  <c r="P198" i="10"/>
  <c r="P41" i="14"/>
  <c r="R160" i="10"/>
  <c r="R158" i="10" s="1"/>
  <c r="R42" i="14" s="1"/>
  <c r="Q337" i="10"/>
  <c r="Q340" i="10" s="1"/>
  <c r="Q351" i="10" s="1"/>
  <c r="Q371" i="10"/>
  <c r="Q374" i="10" s="1"/>
  <c r="Q175" i="10"/>
  <c r="Q40" i="14" s="1"/>
  <c r="Q176" i="10"/>
  <c r="P177" i="10"/>
  <c r="Q354" i="10"/>
  <c r="Q357" i="10" s="1"/>
  <c r="Q368" i="10" s="1"/>
  <c r="P368" i="10"/>
  <c r="R343" i="10"/>
  <c r="R339" i="10" s="1"/>
  <c r="R377" i="10"/>
  <c r="R373" i="10" s="1"/>
  <c r="R360" i="10"/>
  <c r="R356" i="10" s="1"/>
  <c r="R359" i="10"/>
  <c r="R355" i="10" s="1"/>
  <c r="R393" i="10"/>
  <c r="R389" i="10" s="1"/>
  <c r="R342" i="10"/>
  <c r="R338" i="10" s="1"/>
  <c r="R376" i="10"/>
  <c r="R372" i="10" s="1"/>
  <c r="R394" i="10"/>
  <c r="R390" i="10" s="1"/>
  <c r="Q391" i="10"/>
  <c r="Q269" i="10"/>
  <c r="Q272" i="10" s="1"/>
  <c r="Q283" i="10" s="1"/>
  <c r="P283" i="10"/>
  <c r="Q286" i="10"/>
  <c r="Q289" i="10" s="1"/>
  <c r="Q300" i="10" s="1"/>
  <c r="P300" i="10"/>
  <c r="R325" i="10"/>
  <c r="R321" i="10" s="1"/>
  <c r="R223" i="10"/>
  <c r="R219" i="10" s="1"/>
  <c r="R241" i="10"/>
  <c r="R237" i="10" s="1"/>
  <c r="R291" i="10"/>
  <c r="R287" i="10" s="1"/>
  <c r="R309" i="10"/>
  <c r="R305" i="10" s="1"/>
  <c r="R308" i="10"/>
  <c r="R304" i="10" s="1"/>
  <c r="R257" i="10"/>
  <c r="R253" i="10" s="1"/>
  <c r="R326" i="10"/>
  <c r="R322" i="10" s="1"/>
  <c r="R275" i="10"/>
  <c r="R271" i="10" s="1"/>
  <c r="R224" i="10"/>
  <c r="R220" i="10" s="1"/>
  <c r="R240" i="10"/>
  <c r="R236" i="10" s="1"/>
  <c r="R274" i="10"/>
  <c r="R270" i="10" s="1"/>
  <c r="R292" i="10"/>
  <c r="R288" i="10" s="1"/>
  <c r="R258" i="10"/>
  <c r="R254" i="10" s="1"/>
  <c r="Q235" i="10"/>
  <c r="Q238" i="10" s="1"/>
  <c r="Q249" i="10" s="1"/>
  <c r="P249" i="10"/>
  <c r="Q218" i="10"/>
  <c r="Q221" i="10" s="1"/>
  <c r="P232" i="10"/>
  <c r="Q252" i="10"/>
  <c r="Q255" i="10" s="1"/>
  <c r="Q266" i="10" s="1"/>
  <c r="P266" i="10"/>
  <c r="Q303" i="10"/>
  <c r="Q306" i="10" s="1"/>
  <c r="Q317" i="10" s="1"/>
  <c r="P317" i="10"/>
  <c r="Q320" i="10"/>
  <c r="Q323" i="10" s="1"/>
  <c r="Q334" i="10" s="1"/>
  <c r="P334" i="10"/>
  <c r="R206" i="10"/>
  <c r="R202" i="10" s="1"/>
  <c r="R207" i="10"/>
  <c r="R203" i="10" s="1"/>
  <c r="Q201" i="10"/>
  <c r="Q204" i="10" s="1"/>
  <c r="Q215" i="10" s="1"/>
  <c r="P215" i="10"/>
  <c r="Q158" i="10"/>
  <c r="Q42" i="14" s="1"/>
  <c r="S6" i="10"/>
  <c r="R189" i="10"/>
  <c r="R185" i="10" s="1"/>
  <c r="R190" i="10"/>
  <c r="R186" i="10" s="1"/>
  <c r="Q184" i="10"/>
  <c r="Q187" i="10" s="1"/>
  <c r="S29" i="10"/>
  <c r="S43" i="12"/>
  <c r="S13" i="12" s="1"/>
  <c r="S12" i="18" s="1"/>
  <c r="S11" i="17" s="1" a="1"/>
  <c r="S11" i="17" s="1"/>
  <c r="S12" i="17" s="1"/>
  <c r="R107" i="10"/>
  <c r="R22" i="13" s="1"/>
  <c r="R96" i="10"/>
  <c r="R30" i="14" s="1"/>
  <c r="R119" i="10"/>
  <c r="R51" i="13" s="1"/>
  <c r="S97" i="10"/>
  <c r="R17" i="13"/>
  <c r="R19" i="13" s="1"/>
  <c r="R21" i="18" s="1"/>
  <c r="T44" i="10"/>
  <c r="T20" i="10"/>
  <c r="T27" i="10"/>
  <c r="T41" i="12" s="1"/>
  <c r="T24" i="10"/>
  <c r="T38" i="12" s="1"/>
  <c r="T21" i="10"/>
  <c r="T35" i="12" s="1"/>
  <c r="T25" i="10"/>
  <c r="T39" i="12" s="1"/>
  <c r="T26" i="10"/>
  <c r="T40" i="12" s="1"/>
  <c r="T28" i="10"/>
  <c r="T42" i="12" s="1"/>
  <c r="T23" i="10"/>
  <c r="T37" i="12" s="1"/>
  <c r="T32" i="10"/>
  <c r="T22" i="10"/>
  <c r="T36" i="12" s="1"/>
  <c r="Q39" i="13"/>
  <c r="Q162" i="10"/>
  <c r="Q180" i="10" s="1"/>
  <c r="Q106" i="10"/>
  <c r="Q114" i="10"/>
  <c r="P110" i="10"/>
  <c r="T35" i="10" l="1"/>
  <c r="T51" i="12" s="1"/>
  <c r="T34" i="10"/>
  <c r="T39" i="10"/>
  <c r="T55" i="12" s="1"/>
  <c r="T38" i="10"/>
  <c r="T54" i="12" s="1"/>
  <c r="T40" i="10"/>
  <c r="T56" i="12" s="1"/>
  <c r="T98" i="10" s="1"/>
  <c r="T17" i="13" s="1"/>
  <c r="T19" i="13" s="1"/>
  <c r="T21" i="18" s="1"/>
  <c r="T37" i="10"/>
  <c r="T53" i="12" s="1"/>
  <c r="T36" i="10"/>
  <c r="T52" i="12" s="1"/>
  <c r="S49" i="10"/>
  <c r="T46" i="10"/>
  <c r="T47" i="10"/>
  <c r="T61" i="12" s="1"/>
  <c r="T113" i="10" s="1"/>
  <c r="T48" i="10"/>
  <c r="T62" i="12" s="1"/>
  <c r="P22" i="15"/>
  <c r="P21" i="15" s="1"/>
  <c r="P34" i="15"/>
  <c r="P21" i="12"/>
  <c r="P10" i="14" s="1"/>
  <c r="P15" i="14" s="1"/>
  <c r="Q17" i="12"/>
  <c r="Q34" i="15" s="1"/>
  <c r="Q14" i="18"/>
  <c r="S41" i="10"/>
  <c r="S60" i="12"/>
  <c r="S63" i="12" s="1"/>
  <c r="S16" i="12" s="1"/>
  <c r="S15" i="18" s="1"/>
  <c r="R109" i="10"/>
  <c r="R24" i="13" s="1"/>
  <c r="R18" i="15"/>
  <c r="R17" i="15" s="1"/>
  <c r="S11" i="15"/>
  <c r="S23" i="15"/>
  <c r="S31" i="15"/>
  <c r="S19" i="15"/>
  <c r="S15" i="15"/>
  <c r="S27" i="15"/>
  <c r="S57" i="15"/>
  <c r="R106" i="10"/>
  <c r="R14" i="15"/>
  <c r="R13" i="15" s="1"/>
  <c r="R116" i="10"/>
  <c r="R48" i="13" s="1"/>
  <c r="R162" i="10"/>
  <c r="R180" i="10" s="1"/>
  <c r="S157" i="10"/>
  <c r="S159" i="10" s="1"/>
  <c r="S43" i="14" s="1"/>
  <c r="R39" i="13"/>
  <c r="P179" i="10"/>
  <c r="P181" i="10" s="1"/>
  <c r="P25" i="12" s="1"/>
  <c r="Q198" i="10"/>
  <c r="Q41" i="14"/>
  <c r="S107" i="10"/>
  <c r="S22" i="13" s="1"/>
  <c r="R114" i="10"/>
  <c r="R45" i="13" s="1"/>
  <c r="R337" i="10"/>
  <c r="R340" i="10" s="1"/>
  <c r="R15" i="12"/>
  <c r="R176" i="10"/>
  <c r="R175" i="10"/>
  <c r="R40" i="14" s="1"/>
  <c r="Q174" i="10"/>
  <c r="P38" i="13"/>
  <c r="S360" i="10"/>
  <c r="S356" i="10" s="1"/>
  <c r="S376" i="10"/>
  <c r="S372" i="10" s="1"/>
  <c r="S343" i="10"/>
  <c r="S339" i="10" s="1"/>
  <c r="S377" i="10"/>
  <c r="S373" i="10" s="1"/>
  <c r="S342" i="10"/>
  <c r="S338" i="10" s="1"/>
  <c r="S394" i="10"/>
  <c r="S390" i="10" s="1"/>
  <c r="S393" i="10"/>
  <c r="S389" i="10" s="1"/>
  <c r="S359" i="10"/>
  <c r="S355" i="10" s="1"/>
  <c r="R388" i="10"/>
  <c r="R391" i="10" s="1"/>
  <c r="R402" i="10" s="1"/>
  <c r="Q402" i="10"/>
  <c r="R371" i="10"/>
  <c r="R374" i="10" s="1"/>
  <c r="R385" i="10" s="1"/>
  <c r="Q385" i="10"/>
  <c r="R354" i="10"/>
  <c r="R357" i="10" s="1"/>
  <c r="S354" i="10" s="1"/>
  <c r="R218" i="10"/>
  <c r="R221" i="10" s="1"/>
  <c r="R232" i="10" s="1"/>
  <c r="R303" i="10"/>
  <c r="R306" i="10" s="1"/>
  <c r="R317" i="10" s="1"/>
  <c r="S308" i="10"/>
  <c r="S304" i="10" s="1"/>
  <c r="S258" i="10"/>
  <c r="S254" i="10" s="1"/>
  <c r="S326" i="10"/>
  <c r="S322" i="10" s="1"/>
  <c r="S274" i="10"/>
  <c r="S270" i="10" s="1"/>
  <c r="S241" i="10"/>
  <c r="S237" i="10" s="1"/>
  <c r="S223" i="10"/>
  <c r="S219" i="10" s="1"/>
  <c r="S325" i="10"/>
  <c r="S321" i="10" s="1"/>
  <c r="S292" i="10"/>
  <c r="S288" i="10" s="1"/>
  <c r="S275" i="10"/>
  <c r="S271" i="10" s="1"/>
  <c r="S309" i="10"/>
  <c r="S305" i="10" s="1"/>
  <c r="S257" i="10"/>
  <c r="S253" i="10" s="1"/>
  <c r="S291" i="10"/>
  <c r="S287" i="10" s="1"/>
  <c r="S240" i="10"/>
  <c r="S236" i="10" s="1"/>
  <c r="S224" i="10"/>
  <c r="S220" i="10" s="1"/>
  <c r="R286" i="10"/>
  <c r="R289" i="10" s="1"/>
  <c r="R300" i="10" s="1"/>
  <c r="R252" i="10"/>
  <c r="R255" i="10" s="1"/>
  <c r="R266" i="10" s="1"/>
  <c r="R235" i="10"/>
  <c r="R238" i="10" s="1"/>
  <c r="R249" i="10" s="1"/>
  <c r="R320" i="10"/>
  <c r="R323" i="10" s="1"/>
  <c r="R334" i="10" s="1"/>
  <c r="Q232" i="10"/>
  <c r="R269" i="10"/>
  <c r="R272" i="10" s="1"/>
  <c r="R283" i="10" s="1"/>
  <c r="S119" i="10"/>
  <c r="S51" i="13" s="1"/>
  <c r="S160" i="10"/>
  <c r="S162" i="10" s="1"/>
  <c r="S180" i="10" s="1"/>
  <c r="R201" i="10"/>
  <c r="R204" i="10" s="1"/>
  <c r="R215" i="10" s="1"/>
  <c r="S207" i="10"/>
  <c r="S203" i="10" s="1"/>
  <c r="S206" i="10"/>
  <c r="S202" i="10" s="1"/>
  <c r="T6" i="10"/>
  <c r="S189" i="10"/>
  <c r="S185" i="10" s="1"/>
  <c r="S190" i="10"/>
  <c r="S186" i="10" s="1"/>
  <c r="R184" i="10"/>
  <c r="R187" i="10" s="1"/>
  <c r="S57" i="12"/>
  <c r="S14" i="12" s="1"/>
  <c r="S13" i="18" s="1"/>
  <c r="T95" i="10"/>
  <c r="S96" i="10"/>
  <c r="S30" i="14" s="1"/>
  <c r="S17" i="13"/>
  <c r="S19" i="13" s="1"/>
  <c r="S21" i="18" s="1"/>
  <c r="S19" i="12"/>
  <c r="S13" i="14" s="1"/>
  <c r="Q21" i="13"/>
  <c r="Q110" i="10"/>
  <c r="Q45" i="13"/>
  <c r="T34" i="12"/>
  <c r="T43" i="12" s="1"/>
  <c r="T13" i="12" s="1"/>
  <c r="T12" i="18" s="1"/>
  <c r="T11" i="17" s="1" a="1"/>
  <c r="T11" i="17" s="1"/>
  <c r="T12" i="17" s="1"/>
  <c r="N12" i="17" s="1"/>
  <c r="T29" i="10"/>
  <c r="P62" i="15" l="1"/>
  <c r="T49" i="10"/>
  <c r="P17" i="18"/>
  <c r="Q22" i="15"/>
  <c r="Q21" i="15" s="1"/>
  <c r="N11" i="17"/>
  <c r="R17" i="12"/>
  <c r="R16" i="18" s="1"/>
  <c r="R14" i="18"/>
  <c r="Q21" i="12"/>
  <c r="Q16" i="18"/>
  <c r="R110" i="10"/>
  <c r="R21" i="13"/>
  <c r="T41" i="10"/>
  <c r="S116" i="10"/>
  <c r="S48" i="13" s="1"/>
  <c r="S18" i="15"/>
  <c r="S17" i="15" s="1"/>
  <c r="T19" i="15"/>
  <c r="T11" i="15"/>
  <c r="J11" i="15" s="1"/>
  <c r="T57" i="15"/>
  <c r="T23" i="15"/>
  <c r="T27" i="15"/>
  <c r="T15" i="15"/>
  <c r="T31" i="15"/>
  <c r="S15" i="12"/>
  <c r="S14" i="15"/>
  <c r="S13" i="15" s="1"/>
  <c r="Q179" i="10"/>
  <c r="Q181" i="10" s="1"/>
  <c r="Q25" i="12" s="1"/>
  <c r="P20" i="14"/>
  <c r="R198" i="10"/>
  <c r="S109" i="10"/>
  <c r="S24" i="13" s="1"/>
  <c r="Q177" i="10"/>
  <c r="Q38" i="13" s="1"/>
  <c r="R41" i="14"/>
  <c r="S39" i="13"/>
  <c r="S158" i="10"/>
  <c r="S42" i="14" s="1"/>
  <c r="T157" i="10"/>
  <c r="T159" i="10" s="1"/>
  <c r="T43" i="14" s="1"/>
  <c r="S176" i="10"/>
  <c r="S175" i="10"/>
  <c r="S40" i="14" s="1"/>
  <c r="R368" i="10"/>
  <c r="S337" i="10"/>
  <c r="S340" i="10" s="1"/>
  <c r="S351" i="10" s="1"/>
  <c r="R351" i="10"/>
  <c r="S371" i="10"/>
  <c r="S374" i="10" s="1"/>
  <c r="S385" i="10" s="1"/>
  <c r="S106" i="10"/>
  <c r="S21" i="13" s="1"/>
  <c r="T359" i="10"/>
  <c r="T355" i="10" s="1"/>
  <c r="T393" i="10"/>
  <c r="T389" i="10" s="1"/>
  <c r="T394" i="10"/>
  <c r="T390" i="10" s="1"/>
  <c r="T342" i="10"/>
  <c r="T338" i="10" s="1"/>
  <c r="T376" i="10"/>
  <c r="T372" i="10" s="1"/>
  <c r="T360" i="10"/>
  <c r="T356" i="10" s="1"/>
  <c r="T343" i="10"/>
  <c r="T339" i="10" s="1"/>
  <c r="T377" i="10"/>
  <c r="T373" i="10" s="1"/>
  <c r="S114" i="10"/>
  <c r="S45" i="13" s="1"/>
  <c r="S357" i="10"/>
  <c r="S388" i="10"/>
  <c r="S391" i="10" s="1"/>
  <c r="S402" i="10" s="1"/>
  <c r="S235" i="10"/>
  <c r="S238" i="10" s="1"/>
  <c r="S249" i="10" s="1"/>
  <c r="S252" i="10"/>
  <c r="S255" i="10" s="1"/>
  <c r="S266" i="10" s="1"/>
  <c r="T275" i="10"/>
  <c r="T271" i="10" s="1"/>
  <c r="T291" i="10"/>
  <c r="T287" i="10" s="1"/>
  <c r="T240" i="10"/>
  <c r="T236" i="10" s="1"/>
  <c r="T257" i="10"/>
  <c r="T253" i="10" s="1"/>
  <c r="T308" i="10"/>
  <c r="T304" i="10" s="1"/>
  <c r="T309" i="10"/>
  <c r="T305" i="10" s="1"/>
  <c r="T258" i="10"/>
  <c r="T254" i="10" s="1"/>
  <c r="T274" i="10"/>
  <c r="T270" i="10" s="1"/>
  <c r="T223" i="10"/>
  <c r="T219" i="10" s="1"/>
  <c r="T241" i="10"/>
  <c r="T237" i="10" s="1"/>
  <c r="T325" i="10"/>
  <c r="T321" i="10" s="1"/>
  <c r="T292" i="10"/>
  <c r="T288" i="10" s="1"/>
  <c r="T224" i="10"/>
  <c r="T220" i="10" s="1"/>
  <c r="T326" i="10"/>
  <c r="T322" i="10" s="1"/>
  <c r="S269" i="10"/>
  <c r="S272" i="10" s="1"/>
  <c r="S283" i="10" s="1"/>
  <c r="S286" i="10"/>
  <c r="S289" i="10" s="1"/>
  <c r="S300" i="10" s="1"/>
  <c r="S303" i="10"/>
  <c r="S306" i="10" s="1"/>
  <c r="S317" i="10" s="1"/>
  <c r="S320" i="10"/>
  <c r="S323" i="10" s="1"/>
  <c r="S334" i="10" s="1"/>
  <c r="S218" i="10"/>
  <c r="S221" i="10" s="1"/>
  <c r="S232" i="10" s="1"/>
  <c r="T206" i="10"/>
  <c r="T202" i="10" s="1"/>
  <c r="T207" i="10"/>
  <c r="T203" i="10" s="1"/>
  <c r="S201" i="10"/>
  <c r="S204" i="10" s="1"/>
  <c r="S215" i="10" s="1"/>
  <c r="S184" i="10"/>
  <c r="S187" i="10" s="1"/>
  <c r="T189" i="10"/>
  <c r="T185" i="10" s="1"/>
  <c r="T190" i="10"/>
  <c r="T186" i="10" s="1"/>
  <c r="T160" i="10"/>
  <c r="T107" i="10"/>
  <c r="T22" i="13" s="1"/>
  <c r="T119" i="10"/>
  <c r="T51" i="13" s="1"/>
  <c r="T96" i="10"/>
  <c r="T30" i="14" s="1"/>
  <c r="T60" i="12"/>
  <c r="T63" i="12" s="1"/>
  <c r="T16" i="12" s="1"/>
  <c r="T42" i="13"/>
  <c r="T50" i="12"/>
  <c r="T57" i="12" s="1"/>
  <c r="T14" i="12" s="1"/>
  <c r="R34" i="15" l="1"/>
  <c r="R22" i="15"/>
  <c r="R21" i="15" s="1"/>
  <c r="R21" i="12"/>
  <c r="R17" i="18" s="1"/>
  <c r="S17" i="12"/>
  <c r="S16" i="18" s="1"/>
  <c r="S14" i="18"/>
  <c r="T14" i="15"/>
  <c r="T13" i="15" s="1"/>
  <c r="J13" i="15" s="1"/>
  <c r="T13" i="18"/>
  <c r="Q17" i="18"/>
  <c r="Q10" i="14"/>
  <c r="Q15" i="14" s="1"/>
  <c r="T18" i="15"/>
  <c r="T17" i="15" s="1"/>
  <c r="J17" i="15" s="1"/>
  <c r="T15" i="18"/>
  <c r="Q20" i="14"/>
  <c r="Q62" i="15"/>
  <c r="R174" i="10"/>
  <c r="R177" i="10" s="1"/>
  <c r="R38" i="13" s="1"/>
  <c r="T184" i="10"/>
  <c r="T187" i="10" s="1"/>
  <c r="T198" i="10" s="1"/>
  <c r="R179" i="10"/>
  <c r="R181" i="10" s="1"/>
  <c r="R25" i="12" s="1"/>
  <c r="S198" i="10"/>
  <c r="S41" i="14"/>
  <c r="T158" i="10"/>
  <c r="T42" i="14" s="1"/>
  <c r="S110" i="10"/>
  <c r="T176" i="10"/>
  <c r="T175" i="10"/>
  <c r="T40" i="14" s="1"/>
  <c r="S368" i="10"/>
  <c r="T354" i="10"/>
  <c r="T357" i="10" s="1"/>
  <c r="T368" i="10" s="1"/>
  <c r="T371" i="10"/>
  <c r="T374" i="10" s="1"/>
  <c r="T385" i="10" s="1"/>
  <c r="T388" i="10"/>
  <c r="T391" i="10" s="1"/>
  <c r="T402" i="10" s="1"/>
  <c r="T337" i="10"/>
  <c r="T340" i="10" s="1"/>
  <c r="T351" i="10" s="1"/>
  <c r="T303" i="10"/>
  <c r="T306" i="10" s="1"/>
  <c r="T317" i="10" s="1"/>
  <c r="T286" i="10"/>
  <c r="T289" i="10" s="1"/>
  <c r="T300" i="10" s="1"/>
  <c r="T218" i="10"/>
  <c r="T221" i="10" s="1"/>
  <c r="T232" i="10" s="1"/>
  <c r="T269" i="10"/>
  <c r="T272" i="10" s="1"/>
  <c r="T283" i="10" s="1"/>
  <c r="T252" i="10"/>
  <c r="T255" i="10" s="1"/>
  <c r="T266" i="10" s="1"/>
  <c r="T320" i="10"/>
  <c r="T323" i="10" s="1"/>
  <c r="T334" i="10" s="1"/>
  <c r="T235" i="10"/>
  <c r="T238" i="10" s="1"/>
  <c r="T249" i="10" s="1"/>
  <c r="T201" i="10"/>
  <c r="T204" i="10" s="1"/>
  <c r="T215" i="10" s="1"/>
  <c r="T116" i="10"/>
  <c r="T48" i="13" s="1"/>
  <c r="T109" i="10"/>
  <c r="T24" i="13" s="1"/>
  <c r="T15" i="12"/>
  <c r="T106" i="10"/>
  <c r="T114" i="10"/>
  <c r="T39" i="13"/>
  <c r="T162" i="10"/>
  <c r="T180" i="10" s="1"/>
  <c r="R10" i="14" l="1"/>
  <c r="R15" i="14" s="1"/>
  <c r="R62" i="15"/>
  <c r="S34" i="15"/>
  <c r="S22" i="15"/>
  <c r="S21" i="15" s="1"/>
  <c r="S21" i="12"/>
  <c r="S17" i="18" s="1"/>
  <c r="T17" i="12"/>
  <c r="T16" i="18" s="1"/>
  <c r="T14" i="18"/>
  <c r="S174" i="10"/>
  <c r="S177" i="10" s="1"/>
  <c r="S38" i="13" s="1"/>
  <c r="R20" i="14"/>
  <c r="S179" i="10"/>
  <c r="S181" i="10" s="1"/>
  <c r="S25" i="12" s="1"/>
  <c r="T179" i="10"/>
  <c r="T181" i="10" s="1"/>
  <c r="T25" i="12" s="1"/>
  <c r="T20" i="14" s="1"/>
  <c r="T41" i="14"/>
  <c r="T45" i="13"/>
  <c r="T21" i="13"/>
  <c r="T110" i="10"/>
  <c r="S10" i="14" l="1"/>
  <c r="S15" i="14" s="1"/>
  <c r="T22" i="15"/>
  <c r="T21" i="15" s="1"/>
  <c r="J21" i="15" s="1"/>
  <c r="S62" i="15"/>
  <c r="T21" i="12"/>
  <c r="T62" i="15" s="1"/>
  <c r="T34" i="15"/>
  <c r="S20" i="14"/>
  <c r="T174" i="10"/>
  <c r="T177" i="10" s="1"/>
  <c r="T38" i="13" s="1"/>
  <c r="T17" i="18" l="1"/>
  <c r="J62" i="15"/>
  <c r="T10" i="14"/>
  <c r="T15" i="14" s="1"/>
  <c r="P411" i="10"/>
  <c r="P23" i="12"/>
  <c r="P18" i="14" l="1"/>
  <c r="P27" i="12"/>
  <c r="P60" i="10" l="1"/>
  <c r="P117" i="10"/>
  <c r="P18" i="18"/>
  <c r="P120" i="10"/>
  <c r="P52" i="13" s="1"/>
  <c r="P122" i="10" l="1"/>
  <c r="P123" i="10" s="1"/>
  <c r="P49" i="13"/>
  <c r="P62" i="10"/>
  <c r="P67" i="10" s="1"/>
  <c r="P61" i="10"/>
  <c r="P64" i="10"/>
  <c r="P68" i="10" l="1"/>
  <c r="P124" i="10"/>
  <c r="P16" i="14" s="1"/>
  <c r="P22" i="14"/>
  <c r="P28" i="12"/>
  <c r="P29" i="12" s="1"/>
  <c r="P23" i="14" l="1"/>
  <c r="P24" i="14" s="1"/>
  <c r="P71" i="10"/>
  <c r="P69" i="10"/>
  <c r="P19" i="18"/>
  <c r="P13" i="17" s="1" a="1"/>
  <c r="P13" i="17" s="1"/>
  <c r="P26" i="15"/>
  <c r="P25" i="15" s="1"/>
  <c r="P38" i="15"/>
  <c r="P45" i="15"/>
  <c r="P49" i="15"/>
  <c r="P53" i="15"/>
  <c r="P150" i="10"/>
  <c r="P28" i="18" l="1"/>
  <c r="P35" i="15"/>
  <c r="P33" i="15" s="1"/>
  <c r="P39" i="15"/>
  <c r="P14" i="17"/>
  <c r="P151" i="10"/>
  <c r="P145" i="10"/>
  <c r="P146" i="10" s="1"/>
  <c r="P152" i="10"/>
  <c r="P37" i="15"/>
  <c r="P40" i="13"/>
  <c r="P43" i="13" s="1"/>
  <c r="P47" i="13" l="1"/>
  <c r="P54" i="13" s="1"/>
  <c r="Q144" i="10"/>
  <c r="P25" i="18"/>
  <c r="P55" i="13"/>
  <c r="P27" i="18" s="1"/>
  <c r="P39" i="14"/>
  <c r="P44" i="14" s="1"/>
  <c r="P34" i="13"/>
  <c r="P35" i="13" s="1"/>
  <c r="Q149" i="10"/>
  <c r="P24" i="18" l="1"/>
  <c r="P46" i="15"/>
  <c r="P44" i="15" s="1"/>
  <c r="P50" i="15"/>
  <c r="P48" i="15" s="1"/>
  <c r="P56" i="13"/>
  <c r="P30" i="18"/>
  <c r="P48" i="14"/>
  <c r="P49" i="14" s="1"/>
  <c r="P26" i="18"/>
  <c r="P63" i="15"/>
  <c r="P26" i="13" l="1"/>
  <c r="Q47" i="14"/>
  <c r="P30" i="15" l="1"/>
  <c r="P29" i="15" s="1"/>
  <c r="P20" i="18"/>
  <c r="P27" i="13"/>
  <c r="P65" i="15"/>
  <c r="P165" i="10"/>
  <c r="Q166" i="10" s="1"/>
  <c r="Q25" i="13" s="1"/>
  <c r="P409" i="10"/>
  <c r="Q32" i="14" l="1"/>
  <c r="Q33" i="14" s="1"/>
  <c r="Q29" i="18" s="1"/>
  <c r="P22" i="18"/>
  <c r="P64" i="15"/>
  <c r="P28" i="13"/>
  <c r="Q415" i="10"/>
  <c r="Q411" i="10" s="1"/>
  <c r="Q23" i="12" s="1"/>
  <c r="P414" i="10"/>
  <c r="P23" i="18" l="1"/>
  <c r="P54" i="15"/>
  <c r="P52" i="15" s="1"/>
  <c r="P10" i="13"/>
  <c r="P58" i="13"/>
  <c r="P58" i="15"/>
  <c r="Q27" i="12"/>
  <c r="Q18" i="14"/>
  <c r="P56" i="15" l="1"/>
  <c r="Q18" i="18"/>
  <c r="Q120" i="10"/>
  <c r="Q52" i="13" s="1"/>
  <c r="Q60" i="10"/>
  <c r="Q117" i="10"/>
  <c r="Q49" i="13" l="1"/>
  <c r="Q122" i="10"/>
  <c r="Q123" i="10" s="1"/>
  <c r="Q64" i="10"/>
  <c r="Q61" i="10"/>
  <c r="Q62" i="10"/>
  <c r="Q67" i="10" s="1"/>
  <c r="Q22" i="14" l="1"/>
  <c r="Q28" i="12"/>
  <c r="Q29" i="12" s="1"/>
  <c r="Q68" i="10"/>
  <c r="Q124" i="10"/>
  <c r="Q16" i="14" s="1"/>
  <c r="Q23" i="14" l="1"/>
  <c r="Q71" i="10"/>
  <c r="Q19" i="18"/>
  <c r="Q13" i="17" s="1" a="1"/>
  <c r="Q13" i="17" s="1"/>
  <c r="Q26" i="15"/>
  <c r="Q25" i="15" s="1"/>
  <c r="Q38" i="15"/>
  <c r="Q45" i="15"/>
  <c r="Q49" i="15"/>
  <c r="Q53" i="15"/>
  <c r="Q150" i="10"/>
  <c r="Q24" i="14"/>
  <c r="Q69" i="10"/>
  <c r="Q35" i="15" l="1"/>
  <c r="Q33" i="15" s="1"/>
  <c r="Q39" i="15"/>
  <c r="Q28" i="18"/>
  <c r="Q40" i="13"/>
  <c r="Q43" i="13" s="1"/>
  <c r="Q145" i="10"/>
  <c r="Q146" i="10" s="1"/>
  <c r="Q151" i="10"/>
  <c r="Q39" i="14" s="1"/>
  <c r="Q44" i="14" s="1"/>
  <c r="Q30" i="18" s="1"/>
  <c r="Q14" i="17"/>
  <c r="Q37" i="15"/>
  <c r="Q48" i="14" l="1"/>
  <c r="Q49" i="14" s="1"/>
  <c r="R144" i="10"/>
  <c r="Q47" i="13"/>
  <c r="Q54" i="13" s="1"/>
  <c r="Q55" i="13" s="1"/>
  <c r="Q27" i="18" s="1"/>
  <c r="Q152" i="10"/>
  <c r="Q25" i="18"/>
  <c r="Q34" i="13" l="1"/>
  <c r="Q35" i="13" s="1"/>
  <c r="R149" i="10"/>
  <c r="Q26" i="13"/>
  <c r="R47" i="14"/>
  <c r="Q26" i="18"/>
  <c r="Q63" i="15"/>
  <c r="Q30" i="15" l="1"/>
  <c r="Q29" i="15" s="1"/>
  <c r="Q65" i="15"/>
  <c r="Q20" i="18"/>
  <c r="Q409" i="10"/>
  <c r="Q165" i="10"/>
  <c r="R166" i="10" s="1"/>
  <c r="R25" i="13" s="1"/>
  <c r="Q27" i="13"/>
  <c r="Q46" i="15"/>
  <c r="Q44" i="15" s="1"/>
  <c r="Q24" i="18"/>
  <c r="Q56" i="13"/>
  <c r="Q50" i="15"/>
  <c r="Q48" i="15" s="1"/>
  <c r="Q22" i="18" l="1"/>
  <c r="Q64" i="15"/>
  <c r="Q28" i="13"/>
  <c r="R32" i="14"/>
  <c r="R33" i="14" s="1"/>
  <c r="R29" i="18" s="1"/>
  <c r="R415" i="10"/>
  <c r="R411" i="10" s="1"/>
  <c r="R23" i="12" s="1"/>
  <c r="Q414" i="10"/>
  <c r="R18" i="14" l="1"/>
  <c r="R27" i="12"/>
  <c r="Q23" i="18"/>
  <c r="Q58" i="15"/>
  <c r="Q10" i="13"/>
  <c r="Q54" i="15"/>
  <c r="Q52" i="15" s="1"/>
  <c r="Q58" i="13"/>
  <c r="Q56" i="15" l="1"/>
  <c r="R18" i="18"/>
  <c r="R60" i="10"/>
  <c r="R117" i="10"/>
  <c r="R120" i="10"/>
  <c r="R52" i="13" s="1"/>
  <c r="R122" i="10" l="1"/>
  <c r="R123" i="10" s="1"/>
  <c r="R49" i="13"/>
  <c r="R61" i="10"/>
  <c r="R62" i="10" s="1"/>
  <c r="R67" i="10" s="1"/>
  <c r="R64" i="10"/>
  <c r="R69" i="10" l="1"/>
  <c r="R28" i="12"/>
  <c r="R29" i="12" s="1"/>
  <c r="R22" i="14"/>
  <c r="R68" i="10"/>
  <c r="R124" i="10"/>
  <c r="R16" i="14" s="1"/>
  <c r="R23" i="14" l="1"/>
  <c r="R24" i="14" s="1"/>
  <c r="R71" i="10"/>
  <c r="R38" i="15"/>
  <c r="R45" i="15"/>
  <c r="R19" i="18"/>
  <c r="R13" i="17" s="1" a="1"/>
  <c r="R13" i="17" s="1"/>
  <c r="R26" i="15"/>
  <c r="R25" i="15" s="1"/>
  <c r="R49" i="15"/>
  <c r="R53" i="15"/>
  <c r="R150" i="10"/>
  <c r="R35" i="15" l="1"/>
  <c r="R33" i="15" s="1"/>
  <c r="R39" i="15"/>
  <c r="R28" i="18"/>
  <c r="R14" i="17"/>
  <c r="R37" i="15"/>
  <c r="R151" i="10"/>
  <c r="R145" i="10"/>
  <c r="R146" i="10" s="1"/>
  <c r="R40" i="13"/>
  <c r="R43" i="13" s="1"/>
  <c r="R47" i="13" l="1"/>
  <c r="R54" i="13" s="1"/>
  <c r="S144" i="10"/>
  <c r="R55" i="13"/>
  <c r="R27" i="18" s="1"/>
  <c r="R25" i="18"/>
  <c r="R39" i="14"/>
  <c r="R44" i="14" s="1"/>
  <c r="R152" i="10"/>
  <c r="R34" i="13" l="1"/>
  <c r="R35" i="13" s="1"/>
  <c r="S149" i="10"/>
  <c r="R30" i="18"/>
  <c r="R48" i="14"/>
  <c r="R49" i="14" s="1"/>
  <c r="R26" i="18"/>
  <c r="R63" i="15"/>
  <c r="R26" i="13" l="1"/>
  <c r="S47" i="14"/>
  <c r="R46" i="15"/>
  <c r="R44" i="15" s="1"/>
  <c r="R50" i="15"/>
  <c r="R48" i="15" s="1"/>
  <c r="R24" i="18"/>
  <c r="R56" i="13"/>
  <c r="R30" i="15" l="1"/>
  <c r="R29" i="15" s="1"/>
  <c r="R20" i="18"/>
  <c r="R65" i="15"/>
  <c r="R165" i="10"/>
  <c r="S166" i="10" s="1"/>
  <c r="S25" i="13" s="1"/>
  <c r="R409" i="10"/>
  <c r="R27" i="13"/>
  <c r="R22" i="18" l="1"/>
  <c r="R64" i="15"/>
  <c r="R28" i="13"/>
  <c r="S32" i="14"/>
  <c r="S33" i="14" s="1"/>
  <c r="S29" i="18" s="1"/>
  <c r="S415" i="10"/>
  <c r="S411" i="10" s="1"/>
  <c r="S23" i="12" s="1"/>
  <c r="R414" i="10"/>
  <c r="S18" i="14" l="1"/>
  <c r="S27" i="12"/>
  <c r="R23" i="18"/>
  <c r="R54" i="15"/>
  <c r="R52" i="15" s="1"/>
  <c r="R10" i="13"/>
  <c r="R58" i="13"/>
  <c r="R58" i="15"/>
  <c r="R56" i="15" l="1"/>
  <c r="S120" i="10"/>
  <c r="S52" i="13" s="1"/>
  <c r="S18" i="18"/>
  <c r="S60" i="10"/>
  <c r="S117" i="10"/>
  <c r="S49" i="13" l="1"/>
  <c r="S122" i="10"/>
  <c r="S123" i="10" s="1"/>
  <c r="S61" i="10"/>
  <c r="S64" i="10"/>
  <c r="S62" i="10"/>
  <c r="S67" i="10" s="1"/>
  <c r="S22" i="14" l="1"/>
  <c r="S28" i="12"/>
  <c r="S29" i="12" s="1"/>
  <c r="S68" i="10"/>
  <c r="S124" i="10"/>
  <c r="S16" i="14" s="1"/>
  <c r="S23" i="14" l="1"/>
  <c r="S71" i="10"/>
  <c r="S26" i="15"/>
  <c r="S25" i="15" s="1"/>
  <c r="S38" i="15"/>
  <c r="S45" i="15"/>
  <c r="S49" i="15"/>
  <c r="S53" i="15"/>
  <c r="S19" i="18"/>
  <c r="S13" i="17" s="1" a="1"/>
  <c r="S13" i="17" s="1"/>
  <c r="S150" i="10"/>
  <c r="S24" i="14"/>
  <c r="S69" i="10"/>
  <c r="S14" i="17" l="1"/>
  <c r="S37" i="15"/>
  <c r="S40" i="13"/>
  <c r="S43" i="13" s="1"/>
  <c r="S35" i="15"/>
  <c r="S33" i="15" s="1"/>
  <c r="S39" i="15"/>
  <c r="S28" i="18"/>
  <c r="S145" i="10"/>
  <c r="S146" i="10" s="1"/>
  <c r="S151" i="10"/>
  <c r="S39" i="14" s="1"/>
  <c r="S44" i="14" s="1"/>
  <c r="S30" i="18" s="1"/>
  <c r="S152" i="10"/>
  <c r="S48" i="14" l="1"/>
  <c r="S49" i="14" s="1"/>
  <c r="T149" i="10"/>
  <c r="S34" i="13"/>
  <c r="S35" i="13" s="1"/>
  <c r="S25" i="18"/>
  <c r="T144" i="10"/>
  <c r="S47" i="13"/>
  <c r="S54" i="13" s="1"/>
  <c r="S46" i="15" l="1"/>
  <c r="S44" i="15" s="1"/>
  <c r="S24" i="18"/>
  <c r="S50" i="15"/>
  <c r="S48" i="15" s="1"/>
  <c r="S26" i="18"/>
  <c r="S63" i="15"/>
  <c r="S55" i="13"/>
  <c r="S27" i="18" s="1"/>
  <c r="S26" i="13"/>
  <c r="T47" i="14"/>
  <c r="S56" i="13" l="1"/>
  <c r="S20" i="18"/>
  <c r="S30" i="15"/>
  <c r="S29" i="15" s="1"/>
  <c r="S65" i="15"/>
  <c r="S409" i="10"/>
  <c r="S165" i="10"/>
  <c r="T166" i="10" s="1"/>
  <c r="T25" i="13" s="1"/>
  <c r="S27" i="13"/>
  <c r="T32" i="14" l="1"/>
  <c r="T33" i="14" s="1"/>
  <c r="T29" i="18" s="1"/>
  <c r="S22" i="18"/>
  <c r="S64" i="15"/>
  <c r="S28" i="13"/>
  <c r="T415" i="10"/>
  <c r="T411" i="10" s="1"/>
  <c r="T23" i="12" s="1"/>
  <c r="S414" i="10"/>
  <c r="T18" i="14" l="1"/>
  <c r="T27" i="12"/>
  <c r="S58" i="15"/>
  <c r="S23" i="18"/>
  <c r="S10" i="13"/>
  <c r="S54" i="15"/>
  <c r="S52" i="15" s="1"/>
  <c r="S58" i="13"/>
  <c r="S56" i="15" l="1"/>
  <c r="T60" i="10"/>
  <c r="T117" i="10"/>
  <c r="T18" i="18"/>
  <c r="T120" i="10"/>
  <c r="T52" i="13" s="1"/>
  <c r="T122" i="10" l="1"/>
  <c r="T123" i="10" s="1"/>
  <c r="T124" i="10" s="1"/>
  <c r="T16" i="14" s="1"/>
  <c r="T49" i="13"/>
  <c r="T61" i="10"/>
  <c r="T62" i="10" s="1"/>
  <c r="T67" i="10" s="1"/>
  <c r="T64" i="10"/>
  <c r="T22" i="14" l="1"/>
  <c r="T28" i="12"/>
  <c r="T29" i="12" s="1"/>
  <c r="T68" i="10"/>
  <c r="T23" i="14" l="1"/>
  <c r="T24" i="14" s="1"/>
  <c r="T71" i="10"/>
  <c r="T40" i="13" s="1"/>
  <c r="T43" i="13" s="1"/>
  <c r="T19" i="18"/>
  <c r="T13" i="17" s="1" a="1"/>
  <c r="T13" i="17" s="1"/>
  <c r="T26" i="15"/>
  <c r="T25" i="15" s="1"/>
  <c r="J25" i="15" s="1"/>
  <c r="T38" i="15"/>
  <c r="T45" i="15"/>
  <c r="T49" i="15"/>
  <c r="T53" i="15"/>
  <c r="T150" i="10"/>
  <c r="T69" i="10"/>
  <c r="T28" i="18" l="1"/>
  <c r="T35" i="15"/>
  <c r="T33" i="15" s="1"/>
  <c r="J33" i="15" s="1"/>
  <c r="T39" i="15"/>
  <c r="T14" i="17"/>
  <c r="N14" i="17" s="1"/>
  <c r="N13" i="17"/>
  <c r="T25" i="18"/>
  <c r="T55" i="13"/>
  <c r="T27" i="18" s="1"/>
  <c r="T151" i="10"/>
  <c r="T39" i="14" s="1"/>
  <c r="T44" i="14" s="1"/>
  <c r="T30" i="18" s="1"/>
  <c r="T145" i="10"/>
  <c r="T146" i="10" s="1"/>
  <c r="T47" i="13" s="1"/>
  <c r="T54" i="13" s="1"/>
  <c r="T26" i="18" s="1"/>
  <c r="T37" i="15"/>
  <c r="J37" i="15" s="1"/>
  <c r="T63" i="15" l="1"/>
  <c r="J63" i="15" s="1"/>
  <c r="T152" i="10"/>
  <c r="T34" i="13" s="1"/>
  <c r="T35" i="13" s="1"/>
  <c r="T48" i="14"/>
  <c r="T49" i="14" s="1"/>
  <c r="T26" i="13" s="1"/>
  <c r="T24" i="18" l="1"/>
  <c r="T46" i="15"/>
  <c r="T44" i="15" s="1"/>
  <c r="J44" i="15" s="1"/>
  <c r="T50" i="15"/>
  <c r="T48" i="15" s="1"/>
  <c r="J48" i="15" s="1"/>
  <c r="T56" i="13"/>
  <c r="T30" i="15"/>
  <c r="T29" i="15" s="1"/>
  <c r="J29" i="15" s="1"/>
  <c r="T20" i="18"/>
  <c r="T165" i="10"/>
  <c r="T65" i="15"/>
  <c r="J65" i="15" s="1"/>
  <c r="T409" i="10"/>
  <c r="T414" i="10" s="1"/>
  <c r="T27" i="13"/>
  <c r="T22" i="18" l="1"/>
  <c r="T64" i="15"/>
  <c r="J64" i="15" s="1"/>
  <c r="T28" i="13"/>
  <c r="T23" i="18" l="1"/>
  <c r="T54" i="15"/>
  <c r="T52" i="15" s="1"/>
  <c r="J52" i="15" s="1"/>
  <c r="T10" i="13"/>
  <c r="T58" i="13"/>
  <c r="I58" i="13" s="1"/>
  <c r="G58" i="13" s="1"/>
  <c r="T58" i="15"/>
  <c r="T56" i="15" s="1"/>
  <c r="J56" i="15" s="1"/>
  <c r="D5" i="16" l="1"/>
  <c r="D5" i="15"/>
  <c r="D5" i="10"/>
  <c r="D5" i="14"/>
  <c r="D5" i="12"/>
  <c r="D5" i="6"/>
  <c r="D5" i="17"/>
  <c r="D5" i="13"/>
  <c r="D5" i="11"/>
  <c r="D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DBC_VICTOROGUNDELE</author>
  </authors>
  <commentList>
    <comment ref="N115" authorId="0" shapeId="0" xr:uid="{6936E8C8-432F-4216-9494-7325489CD5D1}">
      <text>
        <r>
          <rPr>
            <sz val="9"/>
            <color indexed="81"/>
            <rFont val="Tahoma"/>
            <family val="2"/>
          </rPr>
          <t>Lease liabilities schedule.
Note 34, pg 73.</t>
        </r>
      </text>
    </comment>
    <comment ref="N137" authorId="0" shapeId="0" xr:uid="{4F10BB59-0B05-453B-9A02-F711F469EF7D}">
      <text>
        <r>
          <rPr>
            <sz val="9"/>
            <color indexed="81"/>
            <rFont val="Tahoma"/>
            <family val="2"/>
          </rPr>
          <t>Lease liabilities schedule.
Note 34, pg 73.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DBC_VICTOROGUNDELE</author>
  </authors>
  <commentList>
    <comment ref="D23" authorId="0" shapeId="0" xr:uid="{8E2FBECE-A606-462E-95F4-16B9FD1BAB03}">
      <text>
        <r>
          <rPr>
            <sz val="9"/>
            <color indexed="81"/>
            <rFont val="Tahoma"/>
            <family val="2"/>
          </rPr>
          <t xml:space="preserve">Deducted net foreign exchange gain and currency swap gain.
Pg 47, note 11.
</t>
        </r>
      </text>
    </comment>
    <comment ref="N23" authorId="0" shapeId="0" xr:uid="{BF2135E2-88DD-4211-9EF5-DDC6D8EFDA4A}">
      <text>
        <r>
          <rPr>
            <sz val="9"/>
            <color indexed="81"/>
            <rFont val="Tahoma"/>
            <family val="2"/>
          </rPr>
          <t xml:space="preserve">Deducted net foreign exchange gain and currency swap gain.
Pg 47, note 11.
</t>
        </r>
      </text>
    </comment>
    <comment ref="D24" authorId="0" shapeId="0" xr:uid="{A34F0027-40B3-41EB-8A4B-799B6D11AB09}">
      <text>
        <r>
          <rPr>
            <sz val="9"/>
            <color indexed="81"/>
            <rFont val="Tahoma"/>
            <family val="2"/>
          </rPr>
          <t xml:space="preserve">Reclassified from financce income and added currency swap gain.
Pg 47, note 11.
</t>
        </r>
      </text>
    </comment>
    <comment ref="N24" authorId="0" shapeId="0" xr:uid="{8B453324-402B-476D-B375-F2DFD8481179}">
      <text>
        <r>
          <rPr>
            <sz val="9"/>
            <color indexed="81"/>
            <rFont val="Tahoma"/>
            <family val="2"/>
          </rPr>
          <t xml:space="preserve">Reclassified from financce income and added currency swap gain.
Pg 47, note 11.
</t>
        </r>
      </text>
    </comment>
    <comment ref="D25" authorId="0" shapeId="0" xr:uid="{9ED71B8F-4D5C-4520-B437-9D8019065A51}">
      <text>
        <r>
          <rPr>
            <sz val="9"/>
            <color indexed="81"/>
            <rFont val="Tahoma"/>
            <family val="2"/>
          </rPr>
          <t>Reclassified from finance cost and deducted net foreign exchange loss, derivatives and currency swap loss.
Pg 48, note 12.</t>
        </r>
      </text>
    </comment>
    <comment ref="N25" authorId="0" shapeId="0" xr:uid="{2EA096D4-E7FC-4EEF-828F-036D344539C7}">
      <text>
        <r>
          <rPr>
            <sz val="9"/>
            <color indexed="81"/>
            <rFont val="Tahoma"/>
            <family val="2"/>
          </rPr>
          <t>Reclassified from finance cost and deducted net foreign exchange loss, derivatives and currency swap loss.
Pg 48, note 12.</t>
        </r>
      </text>
    </comment>
    <comment ref="D26" authorId="0" shapeId="0" xr:uid="{E5143B4C-08B0-445F-ACE5-98EA8C853AF9}">
      <text>
        <r>
          <rPr>
            <sz val="9"/>
            <color indexed="81"/>
            <rFont val="Tahoma"/>
            <family val="2"/>
          </rPr>
          <t xml:space="preserve">Reclassified from finance cost and added derivatives and currency swap loss
</t>
        </r>
      </text>
    </comment>
    <comment ref="N26" authorId="0" shapeId="0" xr:uid="{9BC78495-E4EC-45FA-BD57-28EC1B1B89C6}">
      <text>
        <r>
          <rPr>
            <sz val="9"/>
            <color indexed="81"/>
            <rFont val="Tahoma"/>
            <family val="2"/>
          </rPr>
          <t xml:space="preserve">Reclassified from finance cost and added derivatives and currency swap loss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DBC_VICTOROGUNDELE</author>
  </authors>
  <commentList>
    <comment ref="D18" authorId="0" shapeId="0" xr:uid="{5651927B-0DD9-471D-A611-63A691958B79}">
      <text>
        <r>
          <rPr>
            <sz val="9"/>
            <color indexed="81"/>
            <rFont val="Tahoma"/>
            <family val="2"/>
          </rPr>
          <t>merge with investment in current asset.
Pg 64, note 24.</t>
        </r>
      </text>
    </comment>
    <comment ref="N18" authorId="0" shapeId="0" xr:uid="{92615502-BB2C-444F-B790-1F44C6228C3F}">
      <text>
        <r>
          <rPr>
            <sz val="9"/>
            <color indexed="81"/>
            <rFont val="Tahoma"/>
            <family val="2"/>
          </rPr>
          <t>merge with investment in current asset.
Pg 64, note 24.</t>
        </r>
      </text>
    </comment>
    <comment ref="D22" authorId="0" shapeId="0" xr:uid="{4109391B-EB97-4789-95C2-70484DC6A1DC}">
      <text>
        <r>
          <rPr>
            <sz val="9"/>
            <color indexed="81"/>
            <rFont val="Tahoma"/>
            <family val="2"/>
          </rPr>
          <t>Deducted prepayment and other receivables from trade and other receivables.
Pg 63, note 23.</t>
        </r>
      </text>
    </comment>
    <comment ref="N22" authorId="0" shapeId="0" xr:uid="{24E94944-011B-4FB4-A062-0F98FCFB7A16}">
      <text>
        <r>
          <rPr>
            <sz val="9"/>
            <color indexed="81"/>
            <rFont val="Tahoma"/>
            <family val="2"/>
          </rPr>
          <t>Deducted other receivables and prepayment
pg 63, note 23.</t>
        </r>
      </text>
    </comment>
    <comment ref="D23" authorId="0" shapeId="0" xr:uid="{4D393B67-F684-4B53-AF39-A43F93E9BBB3}">
      <text>
        <r>
          <rPr>
            <sz val="9"/>
            <color indexed="81"/>
            <rFont val="Tahoma"/>
            <family val="2"/>
          </rPr>
          <t>Reclassified from trade and other receivables.
Pg 63, note 23.</t>
        </r>
      </text>
    </comment>
    <comment ref="N23" authorId="0" shapeId="0" xr:uid="{076F4021-53FE-42EA-B49C-705E7D3A19EE}">
      <text>
        <r>
          <rPr>
            <sz val="9"/>
            <color indexed="81"/>
            <rFont val="Tahoma"/>
            <family val="2"/>
          </rPr>
          <t>Reclassified from trade and other receivables.
Pg 63, note 23.</t>
        </r>
      </text>
    </comment>
    <comment ref="D24" authorId="0" shapeId="0" xr:uid="{6BE111D5-5896-4857-8E8B-75C643004EC8}">
      <text>
        <r>
          <rPr>
            <sz val="9"/>
            <color indexed="81"/>
            <rFont val="Tahoma"/>
            <family val="2"/>
          </rPr>
          <t>Reclassified from total trade and other receivables.
Pg 63, note 23.</t>
        </r>
      </text>
    </comment>
    <comment ref="N24" authorId="0" shapeId="0" xr:uid="{3FA0E10E-9C60-4036-AF0C-90F4422159EF}">
      <text>
        <r>
          <rPr>
            <sz val="9"/>
            <color indexed="81"/>
            <rFont val="Tahoma"/>
            <family val="2"/>
          </rPr>
          <t>Reclassified from total trade and other receivables and added non-current prepayment
Pg 63, note 23.</t>
        </r>
      </text>
    </comment>
    <comment ref="D38" authorId="0" shapeId="0" xr:uid="{1032367A-1927-4260-9331-4F19362DA24A}">
      <text>
        <r>
          <rPr>
            <sz val="9"/>
            <color indexed="81"/>
            <rFont val="Tahoma"/>
            <family val="2"/>
          </rPr>
          <t>Merge with the borrowings in current liabilities.
Pg 68, note 29</t>
        </r>
      </text>
    </comment>
    <comment ref="N38" authorId="0" shapeId="0" xr:uid="{4C1D30A4-3B7A-41AC-A2FE-7C61E9D09913}">
      <text>
        <r>
          <rPr>
            <sz val="9"/>
            <color indexed="81"/>
            <rFont val="Tahoma"/>
            <family val="2"/>
          </rPr>
          <t>Merge with the borrowings in current liabilities.
Pg 68, note 29</t>
        </r>
      </text>
    </comment>
    <comment ref="D39" authorId="0" shapeId="0" xr:uid="{8C96893F-6854-4E35-925E-154765EFB019}">
      <text>
        <r>
          <rPr>
            <sz val="9"/>
            <color indexed="81"/>
            <rFont val="Tahoma"/>
            <family val="2"/>
          </rPr>
          <t>Merge with current liabilities.
Pg 71, note 34.</t>
        </r>
      </text>
    </comment>
    <comment ref="N39" authorId="0" shapeId="0" xr:uid="{D67F6A39-89ED-4706-9B2F-4EC0611D1592}">
      <text>
        <r>
          <rPr>
            <sz val="9"/>
            <color indexed="81"/>
            <rFont val="Tahoma"/>
            <family val="2"/>
          </rPr>
          <t>Merge with current liabilities.
Pg 71, note 34.</t>
        </r>
      </text>
    </comment>
    <comment ref="D45" authorId="0" shapeId="0" xr:uid="{0A976370-F5BF-486F-A6D8-7E77030DBC1C}">
      <text>
        <r>
          <rPr>
            <sz val="9"/>
            <color indexed="81"/>
            <rFont val="Tahoma"/>
            <family val="2"/>
          </rPr>
          <t>Reclassified from trade and other payables.
Pg 71, note 30</t>
        </r>
      </text>
    </comment>
    <comment ref="D46" authorId="0" shapeId="0" xr:uid="{622DA0FC-5401-42FF-A7A3-C4F8867CE8BC}">
      <text>
        <r>
          <rPr>
            <sz val="9"/>
            <color indexed="81"/>
            <rFont val="Tahoma"/>
            <family val="2"/>
          </rPr>
          <t>Reclassified from trade and other payables.
Pg 71, note 30</t>
        </r>
      </text>
    </comment>
    <comment ref="N46" authorId="0" shapeId="0" xr:uid="{37961FFA-B4B2-41DF-9AB1-E8174D901679}">
      <text>
        <r>
          <rPr>
            <sz val="9"/>
            <color indexed="81"/>
            <rFont val="Tahoma"/>
            <family val="2"/>
          </rPr>
          <t>Reclassified from trade and other payables.
Pg 71, note 30</t>
        </r>
      </text>
    </comment>
    <comment ref="D47" authorId="0" shapeId="0" xr:uid="{1387FE5B-6BD5-4E15-9A36-7AE8960341FB}">
      <text>
        <r>
          <rPr>
            <sz val="9"/>
            <color indexed="81"/>
            <rFont val="Tahoma"/>
            <family val="2"/>
          </rPr>
          <t>Reclassified from trade and other payables.
Pg 71, note 30</t>
        </r>
      </text>
    </comment>
    <comment ref="N47" authorId="0" shapeId="0" xr:uid="{F0521EB7-D4A5-429A-B36D-7566966128E0}">
      <text>
        <r>
          <rPr>
            <sz val="9"/>
            <color indexed="81"/>
            <rFont val="Tahoma"/>
            <family val="2"/>
          </rPr>
          <t>Reclassified from trade and other payables.
Pg 71, note 30</t>
        </r>
      </text>
    </comment>
    <comment ref="D48" authorId="0" shapeId="0" xr:uid="{16E8682F-5518-4FD2-943E-6EBD435AEA12}">
      <text>
        <r>
          <rPr>
            <sz val="9"/>
            <color indexed="81"/>
            <rFont val="Tahoma"/>
            <family val="2"/>
          </rPr>
          <t>Reclassified from trade and other payables.
Pg 71, note 30</t>
        </r>
      </text>
    </comment>
    <comment ref="N48" authorId="0" shapeId="0" xr:uid="{23731835-0AED-4236-99DF-B986F7D1F577}">
      <text>
        <r>
          <rPr>
            <sz val="9"/>
            <color indexed="81"/>
            <rFont val="Tahoma"/>
            <family val="2"/>
          </rPr>
          <t>Reclassified from trade and other payables.
Pg 71, note 30</t>
        </r>
      </text>
    </comment>
    <comment ref="D49" authorId="0" shapeId="0" xr:uid="{994CA897-D5FC-4CB6-94B1-E9D777181DCA}">
      <text>
        <r>
          <rPr>
            <sz val="9"/>
            <color indexed="81"/>
            <rFont val="Tahoma"/>
            <family val="2"/>
          </rPr>
          <t>Reclassified from trade and other payables.
Pg 71, note 30</t>
        </r>
      </text>
    </comment>
    <comment ref="N49" authorId="0" shapeId="0" xr:uid="{D2E12634-1029-450D-BFA6-DA2DB0D410A8}">
      <text>
        <r>
          <rPr>
            <sz val="9"/>
            <color indexed="81"/>
            <rFont val="Tahoma"/>
            <family val="2"/>
          </rPr>
          <t>Reclassified from trade and other payables.
Pg 71, note 30</t>
        </r>
      </text>
    </comment>
    <comment ref="D50" authorId="0" shapeId="0" xr:uid="{77CFAE5F-5320-40B1-9C26-706E6DED7C4B}">
      <text>
        <r>
          <rPr>
            <sz val="9"/>
            <color indexed="81"/>
            <rFont val="Tahoma"/>
            <family val="2"/>
          </rPr>
          <t>Merge with non-current liabilities.
Pg 62, note 10.</t>
        </r>
      </text>
    </comment>
    <comment ref="D53" authorId="0" shapeId="0" xr:uid="{EE1088AB-BEFC-4A12-AA66-65DA067C7741}">
      <text>
        <r>
          <rPr>
            <sz val="9"/>
            <color indexed="81"/>
            <rFont val="Tahoma"/>
            <family val="2"/>
          </rPr>
          <t>Merge provisions in non-current to current.
Pg 72, note 33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<sst xmlns="http://schemas.openxmlformats.org/spreadsheetml/2006/main" count="1118" uniqueCount="434">
  <si>
    <t>Model Navigation</t>
  </si>
  <si>
    <t>Cells Styles</t>
  </si>
  <si>
    <t>Descriptions</t>
  </si>
  <si>
    <t>Sample</t>
  </si>
  <si>
    <t>Explanation</t>
  </si>
  <si>
    <t>Input cells</t>
  </si>
  <si>
    <t>Formula cells</t>
  </si>
  <si>
    <t>Linked cells</t>
  </si>
  <si>
    <t>Percentage cells</t>
  </si>
  <si>
    <t>Multiple cells</t>
  </si>
  <si>
    <t>Sub Total cells</t>
  </si>
  <si>
    <t>Total cells</t>
  </si>
  <si>
    <t>Mask/Flag</t>
  </si>
  <si>
    <t>Banner cells</t>
  </si>
  <si>
    <t>Explanatory or units</t>
  </si>
  <si>
    <t>Title 1</t>
  </si>
  <si>
    <t>Title 2</t>
  </si>
  <si>
    <t>TRUE/FALSE</t>
  </si>
  <si>
    <t>units</t>
  </si>
  <si>
    <t>Headings</t>
  </si>
  <si>
    <t>cells in this format are hardcoded and can be changed</t>
  </si>
  <si>
    <t>cells that contain calculated value and must not be altered</t>
  </si>
  <si>
    <t>value in cells are linked from other cells or worksheet</t>
  </si>
  <si>
    <t>value in multiple of 100 (percentage)</t>
  </si>
  <si>
    <t>value in multiple times</t>
  </si>
  <si>
    <t>summation of array values</t>
  </si>
  <si>
    <t>overall summartion of array values</t>
  </si>
  <si>
    <t>examine a conditional criteria</t>
  </si>
  <si>
    <t>table headings format</t>
  </si>
  <si>
    <t>cells given further clarification or description</t>
  </si>
  <si>
    <t>Title of a chapter in a model</t>
  </si>
  <si>
    <t>represent sub chapter headings</t>
  </si>
  <si>
    <t>Company Name</t>
  </si>
  <si>
    <t>Model Information</t>
  </si>
  <si>
    <t>Business Location</t>
  </si>
  <si>
    <t>Nature of Business</t>
  </si>
  <si>
    <t>MTN Nigeria Communications Plc.</t>
  </si>
  <si>
    <t>Communications</t>
  </si>
  <si>
    <t>Nigeria</t>
  </si>
  <si>
    <t>Company information</t>
  </si>
  <si>
    <t>Model Timing</t>
  </si>
  <si>
    <t>Last Historical Period</t>
  </si>
  <si>
    <t>Model Forecast Period</t>
  </si>
  <si>
    <t>Model End Period</t>
  </si>
  <si>
    <t>Glossary &amp; Abbreviation</t>
  </si>
  <si>
    <t>2020H</t>
  </si>
  <si>
    <t>2020F</t>
  </si>
  <si>
    <t>Historical period</t>
  </si>
  <si>
    <t>Forecasting period</t>
  </si>
  <si>
    <t>represent historical period of reporting</t>
  </si>
  <si>
    <t>represent future projection</t>
  </si>
  <si>
    <t>Naming Range</t>
  </si>
  <si>
    <t>Model Objective</t>
  </si>
  <si>
    <t>Strategic Decision</t>
  </si>
  <si>
    <t>Model Tools</t>
  </si>
  <si>
    <t>Months in a Period</t>
  </si>
  <si>
    <t>Model Content</t>
  </si>
  <si>
    <t>Summary</t>
  </si>
  <si>
    <t>Historical Financials</t>
  </si>
  <si>
    <t>Inputs &amp; Assumptions</t>
  </si>
  <si>
    <t>Calculations &amp; Schedules</t>
  </si>
  <si>
    <t>Data Load</t>
  </si>
  <si>
    <t>Calculations</t>
  </si>
  <si>
    <t>Output</t>
  </si>
  <si>
    <t>Profit or Loss Account</t>
  </si>
  <si>
    <t>Balance Sheet</t>
  </si>
  <si>
    <t>Cashflow Statement</t>
  </si>
  <si>
    <t>Margin &amp; Ratio Analysis</t>
  </si>
  <si>
    <t>Feasibility &amp; Returns</t>
  </si>
  <si>
    <t>Model Navigation styles</t>
  </si>
  <si>
    <t>description of cells value in the model</t>
  </si>
  <si>
    <t>extracted raw financial report</t>
  </si>
  <si>
    <t>drivers, historical trends &amp; forecasting inputs</t>
  </si>
  <si>
    <t>contain schedules, calculations that feeds output</t>
  </si>
  <si>
    <t>overview of the financial model</t>
  </si>
  <si>
    <t>forecasted income statement</t>
  </si>
  <si>
    <t>forecasted statement of financial position</t>
  </si>
  <si>
    <t>forecast cash analysis</t>
  </si>
  <si>
    <t>margin &amp; ratio analysis</t>
  </si>
  <si>
    <t>Menu</t>
  </si>
  <si>
    <t>general information on the model</t>
  </si>
  <si>
    <t>Description</t>
  </si>
  <si>
    <t>unit</t>
  </si>
  <si>
    <t>input</t>
  </si>
  <si>
    <t>drivers</t>
  </si>
  <si>
    <t>Period</t>
  </si>
  <si>
    <t>Historical value</t>
  </si>
  <si>
    <t>represent historical values</t>
  </si>
  <si>
    <t>Live Scenario:</t>
  </si>
  <si>
    <t>Model balance Check</t>
  </si>
  <si>
    <t>Actual</t>
  </si>
  <si>
    <t>Forecast</t>
  </si>
  <si>
    <t>Performance Highlight</t>
  </si>
  <si>
    <t>as at last historical year (2020)</t>
  </si>
  <si>
    <t>Basic/diluted earnings per share</t>
  </si>
  <si>
    <t>Net assets per share</t>
  </si>
  <si>
    <t>Market price</t>
  </si>
  <si>
    <t>Market Cap</t>
  </si>
  <si>
    <t>Shares</t>
  </si>
  <si>
    <t>Revenue</t>
  </si>
  <si>
    <t>Other income</t>
  </si>
  <si>
    <t>Direct network operating costs</t>
  </si>
  <si>
    <t>Value added services</t>
  </si>
  <si>
    <t>Interconnect costs</t>
  </si>
  <si>
    <t>Roaming costs</t>
  </si>
  <si>
    <t>Transmission costs</t>
  </si>
  <si>
    <t>Discounts and commissions</t>
  </si>
  <si>
    <t>Employee costs</t>
  </si>
  <si>
    <t>Depreciation of property and equipment</t>
  </si>
  <si>
    <t>Amortisation of intangible assets</t>
  </si>
  <si>
    <t>Depreciation of right of use assets</t>
  </si>
  <si>
    <t>Other operating expenses</t>
  </si>
  <si>
    <t>Operating profit</t>
  </si>
  <si>
    <t>Finance income</t>
  </si>
  <si>
    <t>Finance costs</t>
  </si>
  <si>
    <t>Profit before taxation</t>
  </si>
  <si>
    <t>Taxation</t>
  </si>
  <si>
    <t>Profit for the year</t>
  </si>
  <si>
    <t>5Yrs 
rows Total</t>
  </si>
  <si>
    <t>5Yrs 
rows average</t>
  </si>
  <si>
    <t>Costs of starter packs, handsets and accessories.</t>
  </si>
  <si>
    <t>Advertisements, sponsorships and sales promotions</t>
  </si>
  <si>
    <t>Model Currency</t>
  </si>
  <si>
    <t>₦`m</t>
  </si>
  <si>
    <t>Assets</t>
  </si>
  <si>
    <t>Non-current assets</t>
  </si>
  <si>
    <t>Property and equipment</t>
  </si>
  <si>
    <t>Right of use assets</t>
  </si>
  <si>
    <t>Intangible assets</t>
  </si>
  <si>
    <t>Investments in subsidiaries</t>
  </si>
  <si>
    <t>Contract acquisition costs</t>
  </si>
  <si>
    <t>Prepayments</t>
  </si>
  <si>
    <t>Other investments</t>
  </si>
  <si>
    <t>Current assets</t>
  </si>
  <si>
    <t>Inventories</t>
  </si>
  <si>
    <t>Trade and other receivables</t>
  </si>
  <si>
    <t>Current investments</t>
  </si>
  <si>
    <t>Restricted cash</t>
  </si>
  <si>
    <t>Cash and cash equivalents</t>
  </si>
  <si>
    <t>Total assets</t>
  </si>
  <si>
    <t>Equity and liabilities</t>
  </si>
  <si>
    <t>Equity</t>
  </si>
  <si>
    <t>Share capital</t>
  </si>
  <si>
    <t>Share premium</t>
  </si>
  <si>
    <t>Other reserves</t>
  </si>
  <si>
    <t>Retained profit</t>
  </si>
  <si>
    <t>Liabilities</t>
  </si>
  <si>
    <t>Non-current liabilities</t>
  </si>
  <si>
    <t>Borrowings</t>
  </si>
  <si>
    <t>Derivatives</t>
  </si>
  <si>
    <t>Lease liabilities</t>
  </si>
  <si>
    <t>Deferred tax</t>
  </si>
  <si>
    <t>Provisions</t>
  </si>
  <si>
    <t>Share based payment liability</t>
  </si>
  <si>
    <t>Employee benefits</t>
  </si>
  <si>
    <t>Current liabilities</t>
  </si>
  <si>
    <t>Trade and other payables</t>
  </si>
  <si>
    <t>Contract liabilities</t>
  </si>
  <si>
    <t>Current tax payable</t>
  </si>
  <si>
    <t>Total liabilities</t>
  </si>
  <si>
    <t>Total equity and liabilities</t>
  </si>
  <si>
    <t>Total non-current assets</t>
  </si>
  <si>
    <t>Total current assets</t>
  </si>
  <si>
    <t>Total equity</t>
  </si>
  <si>
    <t>Total non-current liabilities</t>
  </si>
  <si>
    <t>Total current liabilities</t>
  </si>
  <si>
    <t>Revenue Component</t>
  </si>
  <si>
    <t>Revenue from contracts with customers</t>
  </si>
  <si>
    <t>Voice</t>
  </si>
  <si>
    <t>Data</t>
  </si>
  <si>
    <t>SMS</t>
  </si>
  <si>
    <t>Interconnect and roaming</t>
  </si>
  <si>
    <t>Handset and accessories</t>
  </si>
  <si>
    <t>Digital</t>
  </si>
  <si>
    <t>Other revenues</t>
  </si>
  <si>
    <t>Rental Income</t>
  </si>
  <si>
    <t>Revenue other than from contracts with customers</t>
  </si>
  <si>
    <t>Total revenue</t>
  </si>
  <si>
    <t>Input</t>
  </si>
  <si>
    <t>Scenarios</t>
  </si>
  <si>
    <t>Net profit per audit</t>
  </si>
  <si>
    <t>Reconcile tool</t>
  </si>
  <si>
    <t>Total direct cost of sales</t>
  </si>
  <si>
    <t>Gross profit</t>
  </si>
  <si>
    <t>SG&amp;A</t>
  </si>
  <si>
    <t>Direct cost of revenue</t>
  </si>
  <si>
    <t>Direct costs of revenue</t>
  </si>
  <si>
    <t>Total SG&amp;A</t>
  </si>
  <si>
    <t>EBITDA</t>
  </si>
  <si>
    <t>Depreciation</t>
  </si>
  <si>
    <t>Total Depreciation &amp; Amortization</t>
  </si>
  <si>
    <t>EBIT</t>
  </si>
  <si>
    <t>Profit before tax</t>
  </si>
  <si>
    <t>Profit for the period</t>
  </si>
  <si>
    <t>Depreciation of PPE</t>
  </si>
  <si>
    <t>Reclassification of Line items</t>
  </si>
  <si>
    <t>Net Assets</t>
  </si>
  <si>
    <t>Subscribers (million)</t>
  </si>
  <si>
    <t>million</t>
  </si>
  <si>
    <t>ARPU</t>
  </si>
  <si>
    <t>₦/month</t>
  </si>
  <si>
    <t>Net foreign exchange gain</t>
  </si>
  <si>
    <t>Interest income</t>
  </si>
  <si>
    <t>Interest expense</t>
  </si>
  <si>
    <t>Net foreign exchange loss</t>
  </si>
  <si>
    <t>Other receivables</t>
  </si>
  <si>
    <t>Trade receivables</t>
  </si>
  <si>
    <t>Investment</t>
  </si>
  <si>
    <t>Other accrued expenses</t>
  </si>
  <si>
    <t>Dividends payables</t>
  </si>
  <si>
    <t>Accrued staff expenses</t>
  </si>
  <si>
    <t>Trade payables</t>
  </si>
  <si>
    <t xml:space="preserve">Value added tax </t>
  </si>
  <si>
    <t>%age</t>
  </si>
  <si>
    <t>YoY growth</t>
  </si>
  <si>
    <t>Starter packs, handsets and accessories.</t>
  </si>
  <si>
    <t>%age of sales</t>
  </si>
  <si>
    <t>%age to total sales</t>
  </si>
  <si>
    <t>%age of Previous PPE</t>
  </si>
  <si>
    <t xml:space="preserve">%age of Previous Intangible </t>
  </si>
  <si>
    <t>%age of Previous ROU</t>
  </si>
  <si>
    <t>flat balance</t>
  </si>
  <si>
    <t>%age of PBT</t>
  </si>
  <si>
    <t>provision</t>
  </si>
  <si>
    <t>Profit or Loss Account Assumptions</t>
  </si>
  <si>
    <t>Revenue Inputs</t>
  </si>
  <si>
    <t>Direct cost of revenue Inputs</t>
  </si>
  <si>
    <t>SG&amp;A Inputs</t>
  </si>
  <si>
    <t>Use of Assets Inputs</t>
  </si>
  <si>
    <t>Others Inputs</t>
  </si>
  <si>
    <t>Taxation Inputs</t>
  </si>
  <si>
    <t>maintenable capex</t>
  </si>
  <si>
    <t>incremental capex</t>
  </si>
  <si>
    <t>factor of dep.</t>
  </si>
  <si>
    <t>management</t>
  </si>
  <si>
    <t>times</t>
  </si>
  <si>
    <t>PPE turnover</t>
  </si>
  <si>
    <t>workback</t>
  </si>
  <si>
    <t>amortization rate</t>
  </si>
  <si>
    <t>ROU turnover</t>
  </si>
  <si>
    <t>factor of discount &amp; commision</t>
  </si>
  <si>
    <t>additions (maintenable)</t>
  </si>
  <si>
    <t>Non-Current Assets Inputs</t>
  </si>
  <si>
    <t>Current Assets Inputs</t>
  </si>
  <si>
    <t>Equity Inputs</t>
  </si>
  <si>
    <t>%age of COGS</t>
  </si>
  <si>
    <t>ending balance</t>
  </si>
  <si>
    <t>%age of SG&amp;A</t>
  </si>
  <si>
    <t>%age Prev. Cash bal.</t>
  </si>
  <si>
    <t>Dividend payout ratio</t>
  </si>
  <si>
    <t>%age of PAT</t>
  </si>
  <si>
    <t>Non-Current Liabilities</t>
  </si>
  <si>
    <t>%age of employee cost</t>
  </si>
  <si>
    <t>Current Liabilities</t>
  </si>
  <si>
    <t>%age of Sales</t>
  </si>
  <si>
    <t>Financing Assumptions</t>
  </si>
  <si>
    <t>S/N</t>
  </si>
  <si>
    <t>Types</t>
  </si>
  <si>
    <t>Rate/Spread</t>
  </si>
  <si>
    <t>Floating</t>
  </si>
  <si>
    <t>Fixed</t>
  </si>
  <si>
    <t>Syndicated facility</t>
  </si>
  <si>
    <t>Syndicated facility 2</t>
  </si>
  <si>
    <t>Commercial paper</t>
  </si>
  <si>
    <t>Letter of credit</t>
  </si>
  <si>
    <t>KFW/Citibank</t>
  </si>
  <si>
    <t>Credit Suisse</t>
  </si>
  <si>
    <t>Credit Suisse 2</t>
  </si>
  <si>
    <t>AFR/RMB</t>
  </si>
  <si>
    <t>Amount</t>
  </si>
  <si>
    <t>New debt 1</t>
  </si>
  <si>
    <t>New debt 2</t>
  </si>
  <si>
    <t>New debt 3</t>
  </si>
  <si>
    <t>New debt 4</t>
  </si>
  <si>
    <t>New debt 5</t>
  </si>
  <si>
    <t>Interest Inputs</t>
  </si>
  <si>
    <t>Monetary rate</t>
  </si>
  <si>
    <t>NIBOR</t>
  </si>
  <si>
    <t>LIBOR</t>
  </si>
  <si>
    <t>Spread on cash deposit</t>
  </si>
  <si>
    <t>Rate factor</t>
  </si>
  <si>
    <t>Spread on overdraft</t>
  </si>
  <si>
    <t>Inflow Period</t>
  </si>
  <si>
    <t>Rep. period</t>
  </si>
  <si>
    <t>Incremental rate</t>
  </si>
  <si>
    <t>Lease Liabilities</t>
  </si>
  <si>
    <t>PPE acquired under capital leases</t>
  </si>
  <si>
    <t>Rapayment</t>
  </si>
  <si>
    <t>%age of opening balance</t>
  </si>
  <si>
    <t>Profit or Loss Account Calculations</t>
  </si>
  <si>
    <t>Month in a period</t>
  </si>
  <si>
    <t>Total Revenue</t>
  </si>
  <si>
    <t>Total direct cost of revenue</t>
  </si>
  <si>
    <t>Other</t>
  </si>
  <si>
    <t>Accounting PBT</t>
  </si>
  <si>
    <t>Reduction differences</t>
  </si>
  <si>
    <t>Provision for deferred tax (time diff.)</t>
  </si>
  <si>
    <t>Government PBT</t>
  </si>
  <si>
    <t>Accounting tax</t>
  </si>
  <si>
    <t>Taxes as appearing on P&amp;L</t>
  </si>
  <si>
    <t>Current tax</t>
  </si>
  <si>
    <t>Increase/decrease in differed tax</t>
  </si>
  <si>
    <t>Total income tax</t>
  </si>
  <si>
    <t>Balance Sheet Calculations</t>
  </si>
  <si>
    <t>Non-Current Assets</t>
  </si>
  <si>
    <t>Beginning balance</t>
  </si>
  <si>
    <t>Add: New Capex</t>
  </si>
  <si>
    <t>Less: Depreciation</t>
  </si>
  <si>
    <t>Ending Balance</t>
  </si>
  <si>
    <t>Operating Working Capital</t>
  </si>
  <si>
    <t>OWC</t>
  </si>
  <si>
    <t>Changes in OWC</t>
  </si>
  <si>
    <t>Equity Schedule</t>
  </si>
  <si>
    <t>Change</t>
  </si>
  <si>
    <t>Add: Net profit</t>
  </si>
  <si>
    <t>Less: Dividends</t>
  </si>
  <si>
    <t>Ending balance</t>
  </si>
  <si>
    <t>%age of dividends</t>
  </si>
  <si>
    <t>Lease Schedule</t>
  </si>
  <si>
    <t>Add: new cap lease</t>
  </si>
  <si>
    <t>Less: repayment</t>
  </si>
  <si>
    <t>%age of revenue (ending balance)</t>
  </si>
  <si>
    <t>Borrowings Schedules</t>
  </si>
  <si>
    <t>Add: new issue</t>
  </si>
  <si>
    <t>Schedule Summary</t>
  </si>
  <si>
    <t>Add: non cash item</t>
  </si>
  <si>
    <t>Changes in working capital</t>
  </si>
  <si>
    <t>Add: other income</t>
  </si>
  <si>
    <t>Add; Interest income</t>
  </si>
  <si>
    <t>Add: Net foreign exchange gain</t>
  </si>
  <si>
    <t>Less: Interest expense</t>
  </si>
  <si>
    <t>Less: Net foreign exchange loss</t>
  </si>
  <si>
    <t>Less: Tax expense</t>
  </si>
  <si>
    <t>CFFO</t>
  </si>
  <si>
    <t>Cashflow from Operating Activities (CFFO)</t>
  </si>
  <si>
    <t>Cashflow from Investing Activities (CFFI)</t>
  </si>
  <si>
    <t>CFFI</t>
  </si>
  <si>
    <t>Cashflow from Financing Activities (CFFF)</t>
  </si>
  <si>
    <t>Dividends paid</t>
  </si>
  <si>
    <t>CFFF</t>
  </si>
  <si>
    <t>Borrowings repayment</t>
  </si>
  <si>
    <t>Borrowings issue</t>
  </si>
  <si>
    <t>Leasing repayment</t>
  </si>
  <si>
    <t>Leasing cap.</t>
  </si>
  <si>
    <t>Cash schedule</t>
  </si>
  <si>
    <t>Cash for the period</t>
  </si>
  <si>
    <t>Ending cash balance</t>
  </si>
  <si>
    <t>Beginning cash balance</t>
  </si>
  <si>
    <t>Cash balance</t>
  </si>
  <si>
    <t>Add: Deferred tax</t>
  </si>
  <si>
    <t>Financing Calculations</t>
  </si>
  <si>
    <t>Rate Factor</t>
  </si>
  <si>
    <t>Rep. Mask</t>
  </si>
  <si>
    <t>New issue Flag</t>
  </si>
  <si>
    <t>Spread</t>
  </si>
  <si>
    <t>Interest rate</t>
  </si>
  <si>
    <t>Loan turnover</t>
  </si>
  <si>
    <t>Total interest expense</t>
  </si>
  <si>
    <t>Interation &amp; Circularity</t>
  </si>
  <si>
    <t>Scenario List</t>
  </si>
  <si>
    <t>Base case</t>
  </si>
  <si>
    <t>Best case</t>
  </si>
  <si>
    <t>Worse case</t>
  </si>
  <si>
    <t>change from the scenario worksheet</t>
  </si>
  <si>
    <t>Sensitivity of Specific Line Item</t>
  </si>
  <si>
    <t>balance check</t>
  </si>
  <si>
    <t>Inflation rate</t>
  </si>
  <si>
    <t>Ratio Analysis</t>
  </si>
  <si>
    <t>Margin &amp; Growth</t>
  </si>
  <si>
    <t>Revenue growth</t>
  </si>
  <si>
    <t>Gross margin</t>
  </si>
  <si>
    <t>gross profit</t>
  </si>
  <si>
    <t>Sales</t>
  </si>
  <si>
    <t>Opex to sales</t>
  </si>
  <si>
    <t>EBITDA margin</t>
  </si>
  <si>
    <t>Net profit margin</t>
  </si>
  <si>
    <t>Net profit</t>
  </si>
  <si>
    <t>Cash to sales</t>
  </si>
  <si>
    <t>Cash</t>
  </si>
  <si>
    <t>EBITDA to CFFO</t>
  </si>
  <si>
    <t>Net profit to CFFO</t>
  </si>
  <si>
    <t>Return Measurement</t>
  </si>
  <si>
    <t>Returns</t>
  </si>
  <si>
    <t>Return on Investment</t>
  </si>
  <si>
    <t>Return on Equity</t>
  </si>
  <si>
    <t>Average equity</t>
  </si>
  <si>
    <t>Return on Assets</t>
  </si>
  <si>
    <t>Average assets</t>
  </si>
  <si>
    <t>Asset turnover</t>
  </si>
  <si>
    <t>Cap. Employed</t>
  </si>
  <si>
    <t>Leverage &amp; Liquidity</t>
  </si>
  <si>
    <t>Ratios</t>
  </si>
  <si>
    <t>Interest cover ratio</t>
  </si>
  <si>
    <t>Cashflow to Current Liab.</t>
  </si>
  <si>
    <t>Current ratio</t>
  </si>
  <si>
    <t>Cash ratio</t>
  </si>
  <si>
    <t>Direct Cost</t>
  </si>
  <si>
    <t>Cash Balance</t>
  </si>
  <si>
    <t>NCA</t>
  </si>
  <si>
    <t>CA</t>
  </si>
  <si>
    <t>Total Assets</t>
  </si>
  <si>
    <t>NCL</t>
  </si>
  <si>
    <t>CL</t>
  </si>
  <si>
    <t>growth</t>
  </si>
  <si>
    <t>margin</t>
  </si>
  <si>
    <t>Trend</t>
  </si>
  <si>
    <t>5yrs 
average</t>
  </si>
  <si>
    <t>PBT</t>
  </si>
  <si>
    <t>earnings before interest and tax</t>
  </si>
  <si>
    <t>earning before interest, tax, depreciation &amp; amortization</t>
  </si>
  <si>
    <t>Balanced</t>
  </si>
  <si>
    <t>=BS!$G$58</t>
  </si>
  <si>
    <t>Currency</t>
  </si>
  <si>
    <t>=Menu!$F$10</t>
  </si>
  <si>
    <t>D_Headings</t>
  </si>
  <si>
    <t>=Input!$C$118:$J$118</t>
  </si>
  <si>
    <t>D_Table</t>
  </si>
  <si>
    <t>=Input!$C$119:$J$131</t>
  </si>
  <si>
    <t>P_1</t>
  </si>
  <si>
    <t>=Summary!$P$7</t>
  </si>
  <si>
    <t>P_2</t>
  </si>
  <si>
    <t>=Summary!$Q$7</t>
  </si>
  <si>
    <t>P_List</t>
  </si>
  <si>
    <t>='1 (3)'!$L$12:$L$30</t>
  </si>
  <si>
    <t>Print_Titles</t>
  </si>
  <si>
    <t>=Style!$1:$8</t>
  </si>
  <si>
    <t>S_Button</t>
  </si>
  <si>
    <t>=Scenarios!$F$12</t>
  </si>
  <si>
    <t>S_List</t>
  </si>
  <si>
    <t>=Scenarios!$D$12:$D$14</t>
  </si>
  <si>
    <t>Scenario</t>
  </si>
  <si>
    <t>=Scenarios!$D$11</t>
  </si>
  <si>
    <t>Blank</t>
  </si>
  <si>
    <t>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</si>
</sst>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;[Red]\(#,##0\);\-"/>
    <numFmt numFmtId="165" formatCode="0.00&quot;x&quot;;[Red]\-0.00&quot;x&quot;;\-"/>
    <numFmt numFmtId="166" formatCode="0.0%;[Red]\-0.0%;0.0%"/>
    <numFmt numFmtId="167" formatCode="0&quot;H&quot;"/>
    <numFmt numFmtId="168" formatCode="0&quot;years&quot;"/>
    <numFmt numFmtId="169" formatCode="0&quot;F&quot;"/>
    <numFmt numFmtId="170" formatCode="0&quot;months&quot;"/>
    <numFmt numFmtId="171" formatCode="#,##0.0;[Red]\(#,##0.0\);\-"/>
    <numFmt numFmtId="172" formatCode="#,##0.00;[Red]\(#,##0.00\);\-"/>
    <numFmt numFmtId="173" formatCode="0.00%;[Red]\-0.00%;0.00%"/>
    <numFmt numFmtId="174" formatCode=";;;"/>
    <numFmt numFmtId="175" formatCode="\+0.0%;[Red]\-0.0%;0.0%"/>
    <numFmt numFmtId="176" formatCode="\₦#,##0.00,,&quot;b&quot;;[Red]\(\₦#,##0.00,,&quot;b&quot;\);\-"/>
    <numFmt numFmtId="177" formatCode="0.0%"/>
  </numFmts>
  <fonts count="51" x14ac:knownFonts="1">
    <font>
      <sz val="11"/>
      <color theme="1"/>
      <name val="Arial"/>
      <family val="2"/>
    </font>
    <font>
      <sz val="18"/>
      <color theme="1"/>
      <name val="Calibri"/>
      <family val="2"/>
    </font>
    <font>
      <sz val="18"/>
      <color rgb="FF006100"/>
      <name val="Calibri"/>
      <family val="2"/>
    </font>
    <font>
      <sz val="18"/>
      <color rgb="FF9C0006"/>
      <name val="Calibri"/>
      <family val="2"/>
    </font>
    <font>
      <sz val="18"/>
      <color rgb="FF9C5700"/>
      <name val="Calibri"/>
      <family val="2"/>
    </font>
    <font>
      <b/>
      <sz val="18"/>
      <color rgb="FF3F3F3F"/>
      <name val="Calibri"/>
      <family val="2"/>
    </font>
    <font>
      <b/>
      <sz val="18"/>
      <color rgb="FFFA7D00"/>
      <name val="Calibri"/>
      <family val="2"/>
    </font>
    <font>
      <b/>
      <sz val="18"/>
      <color theme="0"/>
      <name val="Calibri"/>
      <family val="2"/>
    </font>
    <font>
      <sz val="18"/>
      <color rgb="FFFF0000"/>
      <name val="Calibri"/>
      <family val="2"/>
    </font>
    <font>
      <sz val="18"/>
      <color theme="0"/>
      <name val="Calibri"/>
      <family val="2"/>
    </font>
    <font>
      <sz val="11"/>
      <color theme="1"/>
      <name val="Arial"/>
      <family val="2"/>
    </font>
    <font>
      <sz val="16"/>
      <color theme="0"/>
      <name val="Arial"/>
      <family val="2"/>
    </font>
    <font>
      <sz val="11"/>
      <color theme="0"/>
      <name val="Arial"/>
      <family val="2"/>
    </font>
    <font>
      <i/>
      <sz val="10"/>
      <color rgb="FF7F7F7F"/>
      <name val="Arial"/>
      <family val="2"/>
    </font>
    <font>
      <u/>
      <sz val="11"/>
      <color theme="11"/>
      <name val="Arial"/>
      <family val="2"/>
    </font>
    <font>
      <b/>
      <sz val="15"/>
      <color theme="4" tint="-0.499984740745262"/>
      <name val="Arial"/>
      <family val="2"/>
    </font>
    <font>
      <b/>
      <sz val="12"/>
      <color rgb="FFC00000"/>
      <name val="Arial"/>
      <family val="2"/>
    </font>
    <font>
      <b/>
      <sz val="11"/>
      <color theme="3"/>
      <name val="Arial"/>
      <family val="2"/>
    </font>
    <font>
      <sz val="18"/>
      <color rgb="FFFA7D00"/>
      <name val="Arial"/>
      <family val="2"/>
    </font>
    <font>
      <b/>
      <sz val="11"/>
      <color theme="1"/>
      <name val="Arial"/>
      <family val="2"/>
    </font>
    <font>
      <sz val="11"/>
      <color theme="4" tint="-0.499984740745262"/>
      <name val="Arial"/>
      <family val="2"/>
    </font>
    <font>
      <b/>
      <sz val="12"/>
      <color theme="4" tint="-0.499984740745262"/>
      <name val="Arial"/>
      <family val="2"/>
    </font>
    <font>
      <b/>
      <sz val="16"/>
      <color theme="4" tint="-0.499984740745262"/>
      <name val="Arial"/>
      <family val="2"/>
    </font>
    <font>
      <b/>
      <sz val="14"/>
      <color theme="1" tint="0.14999847407452621"/>
      <name val="Arial"/>
      <family val="2"/>
    </font>
    <font>
      <sz val="11"/>
      <color rgb="FF0070C0"/>
      <name val="Arial"/>
      <family val="2"/>
    </font>
    <font>
      <sz val="11"/>
      <color theme="5" tint="-0.499984740745262"/>
      <name val="Arial"/>
      <family val="2"/>
    </font>
    <font>
      <sz val="11"/>
      <color theme="6" tint="-0.499984740745262"/>
      <name val="Arial"/>
      <family val="2"/>
    </font>
    <font>
      <sz val="11"/>
      <color theme="4" tint="0.39997558519241921"/>
      <name val="Arial"/>
      <family val="2"/>
    </font>
    <font>
      <sz val="11"/>
      <color rgb="FFC00000"/>
      <name val="Arial"/>
      <family val="2"/>
    </font>
    <font>
      <sz val="11"/>
      <color theme="4" tint="-0.24994659260841701"/>
      <name val="Arial"/>
      <family val="2"/>
    </font>
    <font>
      <sz val="16"/>
      <color theme="4" tint="-0.499984740745262"/>
      <name val="Arial"/>
      <family val="2"/>
    </font>
    <font>
      <b/>
      <sz val="14"/>
      <color rgb="FFC00000"/>
      <name val="Arial"/>
      <family val="2"/>
    </font>
    <font>
      <sz val="11"/>
      <color theme="1" tint="0.249977111117893"/>
      <name val="Arial"/>
      <family val="2"/>
    </font>
    <font>
      <sz val="10"/>
      <color theme="4" tint="-0.24994659260841701"/>
      <name val="Arial"/>
      <family val="2"/>
    </font>
    <font>
      <sz val="9"/>
      <color indexed="81"/>
      <name val="Tahoma"/>
      <family val="2"/>
    </font>
    <font>
      <sz val="11"/>
      <color theme="0" tint="-0.34998626667073579"/>
      <name val="Arial"/>
      <family val="2"/>
    </font>
    <font>
      <sz val="11"/>
      <color theme="2" tint="-0.499984740745262"/>
      <name val="Arial"/>
      <family val="2"/>
    </font>
    <font>
      <sz val="8"/>
      <name val="Arial"/>
      <family val="2"/>
    </font>
    <font>
      <b/>
      <u/>
      <sz val="11"/>
      <color theme="1"/>
      <name val="Arial"/>
      <family val="2"/>
    </font>
    <font>
      <sz val="11"/>
      <color theme="1" tint="0.34998626667073579"/>
      <name val="Arial"/>
      <family val="2"/>
    </font>
    <font>
      <i/>
      <sz val="11"/>
      <color theme="1" tint="0.34998626667073579"/>
      <name val="Arial"/>
      <family val="2"/>
    </font>
    <font>
      <b/>
      <sz val="11"/>
      <color theme="1" tint="0.34998626667073579"/>
      <name val="Arial"/>
      <family val="2"/>
    </font>
    <font>
      <b/>
      <sz val="11"/>
      <color indexed="8"/>
      <name val="Arial"/>
      <family val="2"/>
    </font>
    <font>
      <i/>
      <sz val="10"/>
      <color rgb="FFFF0000"/>
      <name val="Arial"/>
      <family val="2"/>
    </font>
    <font>
      <sz val="10"/>
      <color theme="1" tint="0.34998626667073579"/>
      <name val="Arial"/>
      <family val="2"/>
    </font>
    <font>
      <sz val="11"/>
      <color theme="4" tint="-0.249977111117893"/>
      <name val="Arial"/>
      <family val="2"/>
    </font>
    <font>
      <b/>
      <sz val="12"/>
      <color theme="9" tint="-0.499984740745262"/>
      <name val="Arial"/>
      <family val="2"/>
    </font>
    <font>
      <sz val="8"/>
      <color rgb="FF000000"/>
      <name val="Segoe UI"/>
      <family val="2"/>
    </font>
    <font>
      <sz val="11"/>
      <color theme="2" tint="-0.249977111117893"/>
      <name val="Arial"/>
      <family val="2"/>
    </font>
    <font>
      <i/>
      <sz val="10"/>
      <color theme="2" tint="-0.499984740745262"/>
      <name val="Arial"/>
      <family val="2"/>
    </font>
    <font>
      <sz val="10"/>
      <color theme="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4506668294322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theme="4" tint="-0.499984740745262"/>
      </bottom>
      <diagonal/>
    </border>
    <border>
      <left/>
      <right/>
      <top/>
      <bottom style="thin">
        <color rgb="FFC00000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thin">
        <color theme="1" tint="0.14993743705557422"/>
      </top>
      <bottom/>
      <diagonal/>
    </border>
    <border>
      <left/>
      <right/>
      <top style="thin">
        <color theme="1" tint="0.499984740745262"/>
      </top>
      <bottom style="double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51">
    <xf numFmtId="164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0" applyNumberForma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0" fillId="33" borderId="1" applyNumberFormat="0" applyAlignment="0" applyProtection="0"/>
    <xf numFmtId="0" fontId="5" fillId="5" borderId="2" applyNumberFormat="0" applyAlignment="0" applyProtection="0"/>
    <xf numFmtId="0" fontId="6" fillId="5" borderId="1" applyNumberFormat="0" applyAlignment="0" applyProtection="0"/>
    <xf numFmtId="0" fontId="18" fillId="0" borderId="7" applyNumberFormat="0" applyFont="0" applyFill="0" applyAlignment="0" applyProtection="0"/>
    <xf numFmtId="0" fontId="7" fillId="6" borderId="3" applyNumberFormat="0" applyAlignment="0" applyProtection="0"/>
    <xf numFmtId="0" fontId="8" fillId="0" borderId="0" applyNumberFormat="0" applyFill="0" applyBorder="0" applyAlignment="0" applyProtection="0"/>
    <xf numFmtId="0" fontId="1" fillId="7" borderId="4" applyNumberFormat="0" applyFont="0" applyAlignment="0" applyProtection="0"/>
    <xf numFmtId="0" fontId="13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11" fillId="31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9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2" fillId="32" borderId="0" applyBorder="0" applyAlignment="0" applyProtection="0"/>
    <xf numFmtId="164" fontId="14" fillId="0" borderId="0" applyNumberFormat="0" applyFill="0" applyBorder="0" applyAlignment="0" applyProtection="0"/>
    <xf numFmtId="165" fontId="10" fillId="0" borderId="0" applyFont="0" applyFill="0" applyBorder="0" applyAlignment="0" applyProtection="0"/>
    <xf numFmtId="0" fontId="19" fillId="0" borderId="8" applyNumberFormat="0" applyFill="0" applyAlignment="0" applyProtection="0"/>
    <xf numFmtId="0" fontId="30" fillId="34" borderId="0" applyBorder="0" applyAlignment="0" applyProtection="0"/>
    <xf numFmtId="167" fontId="29" fillId="0" borderId="0" applyNumberFormat="0" applyFill="0" applyBorder="0" applyAlignment="0" applyProtection="0"/>
  </cellStyleXfs>
  <cellXfs count="123">
    <xf numFmtId="164" fontId="0" fillId="0" borderId="0" xfId="0"/>
    <xf numFmtId="164" fontId="10" fillId="33" borderId="1" xfId="12" applyNumberFormat="1" applyAlignment="1">
      <alignment horizontal="left"/>
    </xf>
    <xf numFmtId="164" fontId="15" fillId="0" borderId="5" xfId="6" applyNumberFormat="1"/>
    <xf numFmtId="164" fontId="16" fillId="0" borderId="6" xfId="7" applyNumberFormat="1"/>
    <xf numFmtId="164" fontId="0" fillId="0" borderId="0" xfId="0"/>
    <xf numFmtId="0" fontId="12" fillId="32" borderId="0" xfId="45"/>
    <xf numFmtId="164" fontId="10" fillId="33" borderId="1" xfId="12" applyNumberFormat="1"/>
    <xf numFmtId="164" fontId="0" fillId="0" borderId="0" xfId="0" applyNumberFormat="1"/>
    <xf numFmtId="164" fontId="13" fillId="0" borderId="0" xfId="19" applyNumberFormat="1"/>
    <xf numFmtId="164" fontId="0" fillId="0" borderId="0" xfId="0" applyAlignment="1">
      <alignment horizontal="left"/>
    </xf>
    <xf numFmtId="164" fontId="0" fillId="0" borderId="7" xfId="15" applyNumberFormat="1" applyFont="1" applyAlignment="1">
      <alignment horizontal="left"/>
    </xf>
    <xf numFmtId="166" fontId="0" fillId="0" borderId="0" xfId="5" applyFont="1" applyAlignment="1">
      <alignment horizontal="left"/>
    </xf>
    <xf numFmtId="165" fontId="0" fillId="0" borderId="0" xfId="47" applyFont="1" applyAlignment="1">
      <alignment horizontal="left"/>
    </xf>
    <xf numFmtId="164" fontId="0" fillId="0" borderId="8" xfId="48" applyNumberFormat="1" applyFont="1" applyAlignment="1">
      <alignment horizontal="left"/>
    </xf>
    <xf numFmtId="164" fontId="19" fillId="0" borderId="9" xfId="20" applyNumberFormat="1" applyFill="1" applyAlignment="1">
      <alignment horizontal="left"/>
    </xf>
    <xf numFmtId="0" fontId="12" fillId="32" borderId="0" xfId="45" applyAlignment="1">
      <alignment horizontal="left"/>
    </xf>
    <xf numFmtId="164" fontId="13" fillId="0" borderId="0" xfId="19" applyNumberFormat="1" applyAlignment="1">
      <alignment horizontal="left"/>
    </xf>
    <xf numFmtId="164" fontId="15" fillId="0" borderId="5" xfId="6" applyNumberFormat="1" applyAlignment="1">
      <alignment horizontal="left"/>
    </xf>
    <xf numFmtId="164" fontId="16" fillId="0" borderId="6" xfId="7" applyNumberFormat="1" applyAlignment="1">
      <alignment horizontal="left"/>
    </xf>
    <xf numFmtId="0" fontId="30" fillId="34" borderId="0" xfId="49"/>
    <xf numFmtId="0" fontId="22" fillId="34" borderId="0" xfId="49" applyFont="1"/>
    <xf numFmtId="164" fontId="23" fillId="0" borderId="0" xfId="0" applyFont="1"/>
    <xf numFmtId="0" fontId="21" fillId="0" borderId="0" xfId="49" applyFont="1" applyFill="1"/>
    <xf numFmtId="0" fontId="30" fillId="0" borderId="0" xfId="49" applyFill="1"/>
    <xf numFmtId="167" fontId="10" fillId="33" borderId="1" xfId="12" applyNumberFormat="1" applyAlignment="1">
      <alignment horizontal="left"/>
    </xf>
    <xf numFmtId="168" fontId="10" fillId="33" borderId="1" xfId="12" applyNumberFormat="1" applyAlignment="1">
      <alignment horizontal="left"/>
    </xf>
    <xf numFmtId="169" fontId="10" fillId="33" borderId="1" xfId="12" applyNumberFormat="1" applyAlignment="1">
      <alignment horizontal="left"/>
    </xf>
    <xf numFmtId="170" fontId="10" fillId="33" borderId="1" xfId="12" applyNumberFormat="1" applyAlignment="1">
      <alignment horizontal="left"/>
    </xf>
    <xf numFmtId="164" fontId="13" fillId="0" borderId="5" xfId="19" applyNumberFormat="1" applyBorder="1"/>
    <xf numFmtId="164" fontId="13" fillId="0" borderId="6" xfId="19" applyNumberFormat="1" applyBorder="1"/>
    <xf numFmtId="164" fontId="20" fillId="0" borderId="0" xfId="0" applyFont="1"/>
    <xf numFmtId="164" fontId="24" fillId="0" borderId="0" xfId="0" applyFont="1"/>
    <xf numFmtId="164" fontId="25" fillId="0" borderId="0" xfId="0" applyFont="1"/>
    <xf numFmtId="164" fontId="26" fillId="0" borderId="0" xfId="0" applyFont="1"/>
    <xf numFmtId="164" fontId="27" fillId="0" borderId="0" xfId="0" applyFont="1"/>
    <xf numFmtId="164" fontId="0" fillId="0" borderId="0" xfId="0" applyFont="1"/>
    <xf numFmtId="164" fontId="28" fillId="0" borderId="0" xfId="0" applyFont="1"/>
    <xf numFmtId="169" fontId="0" fillId="0" borderId="0" xfId="0" applyNumberFormat="1"/>
    <xf numFmtId="167" fontId="29" fillId="0" borderId="0" xfId="50" applyNumberFormat="1"/>
    <xf numFmtId="164" fontId="29" fillId="0" borderId="0" xfId="50" applyNumberFormat="1" applyAlignment="1">
      <alignment horizontal="left"/>
    </xf>
    <xf numFmtId="164" fontId="31" fillId="0" borderId="0" xfId="0" applyFont="1"/>
    <xf numFmtId="164" fontId="0" fillId="0" borderId="0" xfId="0" applyAlignment="1">
      <alignment horizontal="right"/>
    </xf>
    <xf numFmtId="164" fontId="13" fillId="0" borderId="0" xfId="19" applyNumberFormat="1" applyAlignment="1">
      <alignment horizontal="right"/>
    </xf>
    <xf numFmtId="172" fontId="10" fillId="33" borderId="1" xfId="12" applyNumberFormat="1" applyAlignment="1">
      <alignment horizontal="left"/>
    </xf>
    <xf numFmtId="171" fontId="0" fillId="0" borderId="0" xfId="0" applyNumberFormat="1"/>
    <xf numFmtId="164" fontId="13" fillId="0" borderId="0" xfId="19" applyNumberFormat="1" applyAlignment="1">
      <alignment horizontal="center" wrapText="1"/>
    </xf>
    <xf numFmtId="164" fontId="19" fillId="0" borderId="0" xfId="0" applyFont="1"/>
    <xf numFmtId="164" fontId="13" fillId="0" borderId="0" xfId="19" applyNumberFormat="1" applyFont="1"/>
    <xf numFmtId="164" fontId="19" fillId="0" borderId="8" xfId="48" applyNumberFormat="1"/>
    <xf numFmtId="164" fontId="32" fillId="0" borderId="0" xfId="0" applyFont="1" applyAlignment="1">
      <alignment horizontal="left" indent="1"/>
    </xf>
    <xf numFmtId="164" fontId="13" fillId="0" borderId="0" xfId="19" applyNumberFormat="1" applyFont="1" applyAlignment="1">
      <alignment horizontal="right"/>
    </xf>
    <xf numFmtId="167" fontId="33" fillId="0" borderId="0" xfId="50" applyNumberFormat="1" applyFont="1"/>
    <xf numFmtId="166" fontId="0" fillId="0" borderId="0" xfId="5" applyFont="1"/>
    <xf numFmtId="9" fontId="35" fillId="0" borderId="0" xfId="0" applyNumberFormat="1" applyFont="1"/>
    <xf numFmtId="166" fontId="10" fillId="33" borderId="1" xfId="5" applyFill="1" applyBorder="1"/>
    <xf numFmtId="173" fontId="10" fillId="33" borderId="1" xfId="5" applyNumberFormat="1" applyFill="1" applyBorder="1"/>
    <xf numFmtId="166" fontId="29" fillId="0" borderId="0" xfId="50" applyNumberFormat="1"/>
    <xf numFmtId="171" fontId="29" fillId="0" borderId="0" xfId="50" applyNumberFormat="1"/>
    <xf numFmtId="164" fontId="29" fillId="0" borderId="0" xfId="50" applyNumberFormat="1"/>
    <xf numFmtId="164" fontId="36" fillId="0" borderId="0" xfId="0" applyFont="1" applyAlignment="1">
      <alignment horizontal="left" indent="2"/>
    </xf>
    <xf numFmtId="165" fontId="10" fillId="33" borderId="1" xfId="47" applyFill="1" applyBorder="1"/>
    <xf numFmtId="173" fontId="0" fillId="0" borderId="0" xfId="5" applyNumberFormat="1" applyFont="1"/>
    <xf numFmtId="0" fontId="0" fillId="0" borderId="0" xfId="0" applyNumberFormat="1"/>
    <xf numFmtId="0" fontId="10" fillId="33" borderId="1" xfId="12" applyNumberFormat="1"/>
    <xf numFmtId="173" fontId="10" fillId="33" borderId="1" xfId="12" applyNumberFormat="1"/>
    <xf numFmtId="0" fontId="12" fillId="32" borderId="0" xfId="45" applyAlignment="1">
      <alignment horizontal="right"/>
    </xf>
    <xf numFmtId="164" fontId="13" fillId="0" borderId="0" xfId="19" applyNumberFormat="1" applyFill="1" applyBorder="1"/>
    <xf numFmtId="166" fontId="0" fillId="0" borderId="7" xfId="15" applyNumberFormat="1" applyFont="1"/>
    <xf numFmtId="165" fontId="29" fillId="0" borderId="0" xfId="50" applyNumberFormat="1"/>
    <xf numFmtId="164" fontId="29" fillId="0" borderId="6" xfId="50" applyNumberFormat="1" applyBorder="1"/>
    <xf numFmtId="164" fontId="29" fillId="0" borderId="8" xfId="50" applyNumberFormat="1" applyBorder="1"/>
    <xf numFmtId="164" fontId="0" fillId="0" borderId="7" xfId="15" applyNumberFormat="1" applyFont="1"/>
    <xf numFmtId="164" fontId="38" fillId="0" borderId="0" xfId="0" applyFont="1"/>
    <xf numFmtId="164" fontId="19" fillId="0" borderId="9" xfId="20" applyNumberFormat="1"/>
    <xf numFmtId="164" fontId="29" fillId="0" borderId="7" xfId="50" applyNumberFormat="1" applyBorder="1"/>
    <xf numFmtId="166" fontId="36" fillId="0" borderId="0" xfId="5" applyFont="1"/>
    <xf numFmtId="164" fontId="0" fillId="0" borderId="10" xfId="0" applyBorder="1"/>
    <xf numFmtId="164" fontId="0" fillId="0" borderId="11" xfId="0" applyBorder="1"/>
    <xf numFmtId="164" fontId="0" fillId="0" borderId="12" xfId="0" applyBorder="1"/>
    <xf numFmtId="164" fontId="0" fillId="0" borderId="13" xfId="0" applyBorder="1"/>
    <xf numFmtId="164" fontId="0" fillId="0" borderId="0" xfId="0" applyBorder="1"/>
    <xf numFmtId="164" fontId="0" fillId="0" borderId="14" xfId="0" applyBorder="1" applyAlignment="1">
      <alignment horizontal="right"/>
    </xf>
    <xf numFmtId="166" fontId="0" fillId="0" borderId="14" xfId="5" applyFont="1" applyBorder="1" applyAlignment="1">
      <alignment horizontal="right"/>
    </xf>
    <xf numFmtId="0" fontId="0" fillId="0" borderId="14" xfId="0" applyNumberFormat="1" applyBorder="1" applyAlignment="1">
      <alignment horizontal="right"/>
    </xf>
    <xf numFmtId="164" fontId="0" fillId="0" borderId="15" xfId="0" applyBorder="1"/>
    <xf numFmtId="164" fontId="0" fillId="0" borderId="16" xfId="0" applyBorder="1"/>
    <xf numFmtId="164" fontId="0" fillId="0" borderId="17" xfId="0" applyBorder="1" applyAlignment="1">
      <alignment horizontal="right"/>
    </xf>
    <xf numFmtId="165" fontId="0" fillId="0" borderId="0" xfId="47" applyFont="1"/>
    <xf numFmtId="174" fontId="0" fillId="0" borderId="0" xfId="0" applyNumberFormat="1"/>
    <xf numFmtId="3" fontId="0" fillId="0" borderId="0" xfId="5" applyNumberFormat="1" applyFont="1"/>
    <xf numFmtId="164" fontId="39" fillId="0" borderId="0" xfId="0" applyFont="1" applyAlignment="1">
      <alignment horizontal="left" indent="1"/>
    </xf>
    <xf numFmtId="164" fontId="40" fillId="0" borderId="0" xfId="0" applyFont="1" applyAlignment="1">
      <alignment horizontal="left" indent="1"/>
    </xf>
    <xf numFmtId="164" fontId="41" fillId="0" borderId="0" xfId="0" applyFont="1" applyAlignment="1">
      <alignment horizontal="left" indent="1"/>
    </xf>
    <xf numFmtId="164" fontId="39" fillId="0" borderId="0" xfId="0" applyFont="1"/>
    <xf numFmtId="175" fontId="10" fillId="33" borderId="1" xfId="5" applyNumberFormat="1" applyFill="1" applyBorder="1"/>
    <xf numFmtId="166" fontId="19" fillId="0" borderId="0" xfId="5" applyFont="1"/>
    <xf numFmtId="164" fontId="42" fillId="0" borderId="0" xfId="0" applyFont="1"/>
    <xf numFmtId="164" fontId="43" fillId="0" borderId="0" xfId="0" applyFont="1"/>
    <xf numFmtId="9" fontId="16" fillId="0" borderId="6" xfId="7" applyNumberFormat="1"/>
    <xf numFmtId="166" fontId="10" fillId="33" borderId="1" xfId="12" applyNumberFormat="1"/>
    <xf numFmtId="164" fontId="44" fillId="0" borderId="0" xfId="0" applyFont="1" applyAlignment="1">
      <alignment horizontal="left" indent="2"/>
    </xf>
    <xf numFmtId="164" fontId="39" fillId="0" borderId="0" xfId="0" applyFont="1" applyAlignment="1">
      <alignment horizontal="left" indent="2"/>
    </xf>
    <xf numFmtId="166" fontId="45" fillId="0" borderId="0" xfId="5" applyFont="1"/>
    <xf numFmtId="164" fontId="45" fillId="0" borderId="0" xfId="0" applyFont="1"/>
    <xf numFmtId="165" fontId="29" fillId="0" borderId="0" xfId="47" applyFont="1"/>
    <xf numFmtId="165" fontId="45" fillId="0" borderId="0" xfId="47" applyFont="1"/>
    <xf numFmtId="164" fontId="12" fillId="0" borderId="0" xfId="0" applyFont="1"/>
    <xf numFmtId="164" fontId="46" fillId="0" borderId="0" xfId="0" applyFont="1"/>
    <xf numFmtId="166" fontId="48" fillId="0" borderId="7" xfId="15" applyNumberFormat="1" applyFont="1"/>
    <xf numFmtId="176" fontId="0" fillId="0" borderId="0" xfId="0" applyNumberFormat="1"/>
    <xf numFmtId="164" fontId="49" fillId="0" borderId="0" xfId="0" applyFont="1"/>
    <xf numFmtId="175" fontId="49" fillId="0" borderId="0" xfId="5" applyNumberFormat="1" applyFont="1"/>
    <xf numFmtId="176" fontId="29" fillId="0" borderId="0" xfId="50" applyNumberFormat="1"/>
    <xf numFmtId="175" fontId="29" fillId="0" borderId="0" xfId="50" applyNumberFormat="1"/>
    <xf numFmtId="0" fontId="50" fillId="32" borderId="0" xfId="45" applyFont="1"/>
    <xf numFmtId="0" fontId="50" fillId="32" borderId="0" xfId="45" applyFont="1" applyAlignment="1">
      <alignment horizontal="center" vertical="center" wrapText="1"/>
    </xf>
    <xf numFmtId="167" fontId="50" fillId="32" borderId="0" xfId="45" applyNumberFormat="1" applyFont="1"/>
    <xf numFmtId="169" fontId="50" fillId="32" borderId="0" xfId="45" applyNumberFormat="1" applyFont="1"/>
    <xf numFmtId="175" fontId="49" fillId="0" borderId="0" xfId="5" applyNumberFormat="1" applyFont="1" applyAlignment="1">
      <alignment horizontal="center"/>
    </xf>
    <xf numFmtId="176" fontId="36" fillId="0" borderId="0" xfId="0" applyNumberFormat="1" applyFont="1" applyAlignment="1">
      <alignment horizontal="center"/>
    </xf>
    <xf numFmtId="174" fontId="0" fillId="0" borderId="0" xfId="5" applyNumberFormat="1" applyFont="1"/>
    <xf numFmtId="177" fontId="0" fillId="0" borderId="0" xfId="0" applyNumberFormat="1"/>
    <xf numFmtId="166" fontId="48" fillId="0" borderId="0" xfId="0" applyNumberFormat="1" applyFont="1"/>
  </cellXfs>
  <cellStyles count="51">
    <cellStyle name="20% - Accent1" xfId="22" builtinId="30" hidden="1"/>
    <cellStyle name="20% - Accent2" xfId="26" builtinId="34" hidden="1"/>
    <cellStyle name="20% - Accent3" xfId="30" builtinId="38" hidden="1"/>
    <cellStyle name="20% - Accent4" xfId="34" builtinId="42" hidden="1"/>
    <cellStyle name="20% - Accent5" xfId="38" builtinId="46" hidden="1"/>
    <cellStyle name="20% - Accent6" xfId="42" builtinId="50" hidden="1"/>
    <cellStyle name="40% - Accent1" xfId="23" builtinId="31" hidden="1"/>
    <cellStyle name="40% - Accent2" xfId="27" builtinId="35" hidden="1"/>
    <cellStyle name="40% - Accent3" xfId="31" builtinId="39" hidden="1"/>
    <cellStyle name="40% - Accent4" xfId="35" builtinId="43" hidden="1"/>
    <cellStyle name="40% - Accent5" xfId="39" builtinId="47" hidden="1"/>
    <cellStyle name="40% - Accent6" xfId="43" builtinId="51" hidden="1"/>
    <cellStyle name="60% - Accent1" xfId="24" builtinId="32" hidden="1"/>
    <cellStyle name="60% - Accent2" xfId="28" builtinId="36" hidden="1"/>
    <cellStyle name="60% - Accent3" xfId="32" builtinId="40" hidden="1"/>
    <cellStyle name="60% - Accent4" xfId="36" builtinId="44" hidden="1"/>
    <cellStyle name="60% - Accent5" xfId="40" builtinId="48" hidden="1"/>
    <cellStyle name="60% - Accent6" xfId="44" builtinId="52" hidden="1"/>
    <cellStyle name="Accent1" xfId="21" builtinId="29" customBuiltin="1"/>
    <cellStyle name="Accent2" xfId="25" builtinId="33" hidden="1"/>
    <cellStyle name="Accent3" xfId="29" builtinId="37" hidden="1"/>
    <cellStyle name="Accent4" xfId="33" builtinId="41" hidden="1"/>
    <cellStyle name="Accent5" xfId="37" builtinId="45" hidden="1"/>
    <cellStyle name="Accent6" xfId="41" builtinId="49" hidden="1"/>
    <cellStyle name="Bad" xfId="10" builtinId="27" hidden="1"/>
    <cellStyle name="Banner" xfId="45" xr:uid="{FE49B5D8-A8C3-451B-A3A3-6E6135FFD47B}"/>
    <cellStyle name="Banner 2" xfId="49" xr:uid="{A72F82F5-7A87-497D-ABFB-2E0C3583CA97}"/>
    <cellStyle name="Calculation" xfId="14" builtinId="22" hidden="1"/>
    <cellStyle name="Check Cell" xfId="16" builtinId="23" hidden="1"/>
    <cellStyle name="Comma" xfId="1" builtinId="3" hidden="1"/>
    <cellStyle name="Comma [0]" xfId="2" builtinId="6" hidden="1"/>
    <cellStyle name="Currency" xfId="3" builtinId="4" hidden="1"/>
    <cellStyle name="Currency [0]" xfId="4" builtinId="7" hidden="1"/>
    <cellStyle name="Explanatory Text" xfId="19" builtinId="53" customBuiltin="1"/>
    <cellStyle name="Followed Hyperlink" xfId="46" builtinId="9" hidden="1"/>
    <cellStyle name="Good" xfId="9" builtinId="26" hidden="1"/>
    <cellStyle name="Heading 1" xfId="6" builtinId="16" customBuiltin="1"/>
    <cellStyle name="Heading 2" xfId="7" builtinId="17" customBuiltin="1"/>
    <cellStyle name="Heading 4" xfId="8" builtinId="19" customBuiltin="1"/>
    <cellStyle name="Hist" xfId="50" xr:uid="{38CC5F93-CE30-4BCA-AA0E-4DD9FE932565}"/>
    <cellStyle name="Input" xfId="12" builtinId="20" customBuiltin="1"/>
    <cellStyle name="Linked Cell" xfId="15" builtinId="24" customBuiltin="1"/>
    <cellStyle name="Multiple" xfId="47" xr:uid="{2893B2D1-582F-4EA5-94AC-1D7C9EDAF0CC}"/>
    <cellStyle name="Neutral" xfId="11" builtinId="28" hidden="1"/>
    <cellStyle name="Normal" xfId="0" builtinId="0"/>
    <cellStyle name="Note" xfId="18" builtinId="10" hidden="1"/>
    <cellStyle name="Output" xfId="13" builtinId="21" hidden="1"/>
    <cellStyle name="Percent" xfId="5" builtinId="5" customBuiltin="1"/>
    <cellStyle name="Subtotal" xfId="48" xr:uid="{6C96DFCB-43A7-42A9-8116-ED31D8805087}"/>
    <cellStyle name="Total" xfId="20" builtinId="25" customBuiltin="1"/>
    <cellStyle name="Warning Text" xfId="17" builtinId="11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6415770609319E-2"/>
          <c:y val="6.1728395061728392E-2"/>
          <c:w val="0.87007168458781348"/>
          <c:h val="0.6917534929345953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Summary!$L$11:$M$11</c:f>
              <c:strCache>
                <c:ptCount val="2"/>
                <c:pt idx="0">
                  <c:v>Revenue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Summary!$O$10:$T$10</c:f>
              <c:numCache>
                <c:formatCode>0"F"</c:formatCode>
                <c:ptCount val="6"/>
                <c:pt idx="0" formatCode="0&quot;H&quot;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Summary!$O$11:$T$11</c:f>
              <c:numCache>
                <c:formatCode>\₦#,##0.00,,"b";[Red]\(\₦#,##0.00,,"b"\);\-</c:formatCode>
                <c:ptCount val="6"/>
                <c:pt idx="0">
                  <c:v>1346390</c:v>
                </c:pt>
                <c:pt idx="1">
                  <c:v>1491332.9226699998</c:v>
                </c:pt>
                <c:pt idx="2">
                  <c:v>1698584.9502663722</c:v>
                </c:pt>
                <c:pt idx="3">
                  <c:v>1914729.8851877681</c:v>
                </c:pt>
                <c:pt idx="4">
                  <c:v>2112799.1181610166</c:v>
                </c:pt>
                <c:pt idx="5">
                  <c:v>2240623.4648097577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23-448A-874D-3D2FBBA0F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41085056"/>
        <c:axId val="1041087136"/>
      </c:barChart>
      <c:lineChart>
        <c:grouping val="standard"/>
        <c:varyColors val="0"/>
        <c:ser>
          <c:idx val="2"/>
          <c:order val="1"/>
          <c:tx>
            <c:strRef>
              <c:f>Summary!$L$13:$M$13</c:f>
              <c:strCache>
                <c:ptCount val="2"/>
                <c:pt idx="0">
                  <c:v>Net profit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26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Summary!$O$10:$T$10</c:f>
              <c:numCache>
                <c:formatCode>0"F"</c:formatCode>
                <c:ptCount val="6"/>
                <c:pt idx="0" formatCode="0&quot;H&quot;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Summary!$O$13:$T$13</c:f>
              <c:numCache>
                <c:formatCode>\₦#,##0.00,,"b";[Red]\(\₦#,##0.00,,"b"\);\-</c:formatCode>
                <c:ptCount val="6"/>
                <c:pt idx="0">
                  <c:v>205214</c:v>
                </c:pt>
                <c:pt idx="1">
                  <c:v>299094.74504654726</c:v>
                </c:pt>
                <c:pt idx="2">
                  <c:v>352481.67582503357</c:v>
                </c:pt>
                <c:pt idx="3">
                  <c:v>249146.61558119685</c:v>
                </c:pt>
                <c:pt idx="4">
                  <c:v>309732.95537051361</c:v>
                </c:pt>
                <c:pt idx="5">
                  <c:v>383682.81200970255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23-448A-874D-3D2FBBA0F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085056"/>
        <c:axId val="1041087136"/>
      </c:lineChart>
      <c:catAx>
        <c:axId val="1041085056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41087136"/>
        <c:crosses val="autoZero"/>
        <c:auto val="1"/>
        <c:lblAlgn val="ctr"/>
        <c:lblOffset val="100"/>
        <c:noMultiLvlLbl val="0"/>
      </c:catAx>
      <c:valAx>
        <c:axId val="1041087136"/>
        <c:scaling>
          <c:orientation val="minMax"/>
        </c:scaling>
        <c:delete val="1"/>
        <c:axPos val="l"/>
        <c:numFmt formatCode="\₦#,##0.00,,&quot;b&quot;;[Red]\(\₦#,##0.00,,&quot;b&quot;\);\-" sourceLinked="1"/>
        <c:majorTickMark val="none"/>
        <c:minorTickMark val="none"/>
        <c:tickLblPos val="nextTo"/>
        <c:crossAx val="104108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5628951119013352"/>
          <c:y val="9.5709500958844798E-2"/>
          <c:w val="0.14171129314480851"/>
          <c:h val="0.287006548423871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E$16" lockText="1" noThreeD="1"/>
</file>

<file path=xl/ctrlProps/ctrlProp2.xml><?xml version="1.0" encoding="utf-8"?>
<formControlPr xmlns="http://schemas.microsoft.com/office/spreadsheetml/2009/9/main" objectType="Drop" dropStyle="combo" dx="26" fmlaLink="S_Button" fmlaRange="S_List" sel="1" val="0"/>
</file>

<file path=xl/ctrlProps/ctrlProp3.xml><?xml version="1.0" encoding="utf-8"?>
<formControlPr xmlns="http://schemas.microsoft.com/office/spreadsheetml/2009/9/main" objectType="Drop" dropLines="20" dropStyle="combo" dx="26" fmlaLink="P_1" fmlaRange="P_List" sel="1" val="0"/>
</file>

<file path=xl/ctrlProps/ctrlProp4.xml><?xml version="1.0" encoding="utf-8"?>
<formControlPr xmlns="http://schemas.microsoft.com/office/spreadsheetml/2009/9/main" objectType="Drop" dropLines="20" dropStyle="combo" dx="26" fmlaLink="P_2" fmlaRange="P_List" sel="8" val="0"/>
</file>

<file path=xl/ctrlProps/ctrlProp5.xml><?xml version="1.0" encoding="utf-8"?>
<formControlPr xmlns="http://schemas.microsoft.com/office/spreadsheetml/2009/9/main" objectType="Scroll" dx="26" fmlaLink="$L$8" max="1000" page="10" val="100"/>
</file>

<file path=xl/ctrlProps/ctrlProp6.xml><?xml version="1.0" encoding="utf-8"?>
<formControlPr xmlns="http://schemas.microsoft.com/office/spreadsheetml/2009/9/main" objectType="Scroll" dx="26" fmlaLink="$M$8" max="1000" page="10" val="100"/>
</file>

<file path=xl/ctrlProps/ctrlProp7.xml><?xml version="1.0" encoding="utf-8"?>
<formControlPr xmlns="http://schemas.microsoft.com/office/spreadsheetml/2009/9/main" objectType="Scroll" dx="26" fmlaLink="$N$8" max="1000" page="10" val="100"/>
</file>

<file path=xl/ctrlProps/ctrlProp8.xml><?xml version="1.0" encoding="utf-8"?>
<formControlPr xmlns="http://schemas.microsoft.com/office/spreadsheetml/2009/9/main" objectType="Drop" dropStyle="combo" dx="26" fmlaLink="S_Button" fmlaRange="S_List" sel="1" val="0"/>
</file>

<file path=xl/ctrlProps/ctrlProp9.xml><?xml version="1.0" encoding="utf-8"?>
<formControlPr xmlns="http://schemas.microsoft.com/office/spreadsheetml/2009/9/main" objectType="Drop" dropStyle="combo" dx="26" fmlaLink="S_Button" fmlaRange="S_List" sel="1" val="0"/>
</file>

<file path=xl/ctrlProps/ctrlProp10.xml><?xml version="1.0" encoding="utf-8"?>
<formControlPr xmlns="http://schemas.microsoft.com/office/spreadsheetml/2009/9/main" objectType="Drop" dropStyle="combo" dx="26" fmlaLink="S_Button" fmlaRange="S_List" sel="1" val="0"/>
</file>

<file path=xl/ctrlProps/ctrlProp11.xml><?xml version="1.0" encoding="utf-8"?>
<formControlPr xmlns="http://schemas.microsoft.com/office/spreadsheetml/2009/9/main" objectType="Drop" dropStyle="combo" dx="26" fmlaLink="S_Button" fmlaRange="S_List" sel="1" val="0"/>
</file>

<file path=xl/ctrlProps/ctrlProp12.xml><?xml version="1.0" encoding="utf-8"?>
<formControlPr xmlns="http://schemas.microsoft.com/office/spreadsheetml/2009/9/main" objectType="Drop" dropStyle="combo" dx="26" fmlaLink="S_Button" fmlaRange="S_List" sel="1" val="0"/>
</file>

<file path=xl/ctrlProps/ctrlProp13.xml><?xml version="1.0" encoding="utf-8"?>
<formControlPr xmlns="http://schemas.microsoft.com/office/spreadsheetml/2009/9/main" objectType="Drop" dropStyle="combo" dx="26" fmlaLink="S_Button" fmlaRange="S_List" sel="1" val="0"/>
</file>

<file path=xl/ctrlProps/ctrlProp14.xml><?xml version="1.0" encoding="utf-8"?>
<formControlPr xmlns="http://schemas.microsoft.com/office/spreadsheetml/2009/9/main" objectType="Drop" dropStyle="combo" dx="26" fmlaLink="S_Button" fmlaRange="S_List" sel="1" val="0"/>
</file>

<file path=xl/ctrlProps/ctrlProp15.xml><?xml version="1.0" encoding="utf-8"?>
<formControlPr xmlns="http://schemas.microsoft.com/office/spreadsheetml/2009/9/main" objectType="Drop" dropStyle="combo" dx="26" fmlaLink="S_Button" fmlaRange="S_List" sel="1" val="0"/>
</file>

<file path=xl/ctrlProps/ctrlProp16.xml><?xml version="1.0" encoding="utf-8"?>
<formControlPr xmlns="http://schemas.microsoft.com/office/spreadsheetml/2009/9/main" objectType="Drop" dropStyle="combo" dx="26" fmlaLink="S_Button" fmlaRange="S_List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</xdr:colOff>
      <xdr:row>2</xdr:row>
      <xdr:rowOff>45721</xdr:rowOff>
    </xdr:from>
    <xdr:to>
      <xdr:col>3</xdr:col>
      <xdr:colOff>440472</xdr:colOff>
      <xdr:row>8</xdr:row>
      <xdr:rowOff>91440</xdr:rowOff>
    </xdr:to>
    <xdr:pic>
      <xdr:nvPicPr>
        <xdr:cNvPr id="2" name="Picture 1" descr="MTN Night Plan: MTN 500MB For N25, 125MB And 250MB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37" t="10390" r="8755" b="12662"/>
        <a:stretch/>
      </xdr:blipFill>
      <xdr:spPr bwMode="auto">
        <a:xfrm>
          <a:off x="685800" y="396241"/>
          <a:ext cx="1766352" cy="1097279"/>
        </a:xfrm>
        <a:prstGeom prst="round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99060</xdr:colOff>
      <xdr:row>1</xdr:row>
      <xdr:rowOff>38100</xdr:rowOff>
    </xdr:from>
    <xdr:to>
      <xdr:col>7</xdr:col>
      <xdr:colOff>320040</xdr:colOff>
      <xdr:row>16</xdr:row>
      <xdr:rowOff>30480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60" y="213360"/>
          <a:ext cx="4914900" cy="2880360"/>
        </a:xfrm>
        <a:prstGeom prst="roundRect">
          <a:avLst/>
        </a:prstGeom>
        <a:noFill/>
        <a:ln w="3175">
          <a:solidFill>
            <a:schemeClr val="accent4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14</xdr:row>
          <xdr:rowOff>161925</xdr:rowOff>
        </xdr:from>
        <xdr:to>
          <xdr:col>4</xdr:col>
          <xdr:colOff>19050</xdr:colOff>
          <xdr:row>16</xdr:row>
          <xdr:rowOff>28575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1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152400</xdr:colOff>
      <xdr:row>16</xdr:row>
      <xdr:rowOff>144780</xdr:rowOff>
    </xdr:from>
    <xdr:to>
      <xdr:col>8</xdr:col>
      <xdr:colOff>587721</xdr:colOff>
      <xdr:row>26</xdr:row>
      <xdr:rowOff>30480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" y="3208020"/>
          <a:ext cx="5799801" cy="1638300"/>
        </a:xfrm>
        <a:prstGeom prst="rect">
          <a:avLst/>
        </a:prstGeom>
      </xdr:spPr>
    </xdr:pic>
    <xdr:clientData/>
  </xdr:twoCellAnchor>
  <xdr:twoCellAnchor>
    <xdr:from>
      <xdr:col>8</xdr:col>
      <xdr:colOff>53340</xdr:colOff>
      <xdr:row>19</xdr:row>
      <xdr:rowOff>49530</xdr:rowOff>
    </xdr:from>
    <xdr:to>
      <xdr:col>9</xdr:col>
      <xdr:colOff>91440</xdr:colOff>
      <xdr:row>20</xdr:row>
      <xdr:rowOff>129540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>
          <a:stCxn id="10" idx="1"/>
        </xdr:cNvCxnSpPr>
      </xdr:nvCxnSpPr>
      <xdr:spPr>
        <a:xfrm flipH="1">
          <a:off x="5417820" y="3638550"/>
          <a:ext cx="708660" cy="255270"/>
        </a:xfrm>
        <a:prstGeom prst="straightConnector1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91440</xdr:colOff>
      <xdr:row>16</xdr:row>
      <xdr:rowOff>106680</xdr:rowOff>
    </xdr:from>
    <xdr:to>
      <xdr:col>12</xdr:col>
      <xdr:colOff>205740</xdr:colOff>
      <xdr:row>21</xdr:row>
      <xdr:rowOff>167640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6126480" y="3169920"/>
          <a:ext cx="2125980" cy="937260"/>
        </a:xfrm>
        <a:prstGeom prst="rect">
          <a:avLst/>
        </a:prstGeom>
        <a:noFill/>
        <a:ln w="317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Tick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enable interative in your excel and tick the box to activate the interation calculation in interest income calculation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421005</xdr:colOff>
      <xdr:row>15</xdr:row>
      <xdr:rowOff>30480</xdr:rowOff>
    </xdr:from>
    <xdr:to>
      <xdr:col>7</xdr:col>
      <xdr:colOff>329565</xdr:colOff>
      <xdr:row>16</xdr:row>
      <xdr:rowOff>7620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3164205" y="2992755"/>
          <a:ext cx="1965960" cy="1581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Interest Income line item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2270760</xdr:colOff>
      <xdr:row>2</xdr:row>
      <xdr:rowOff>22860</xdr:rowOff>
    </xdr:from>
    <xdr:to>
      <xdr:col>6</xdr:col>
      <xdr:colOff>7620</xdr:colOff>
      <xdr:row>3</xdr:row>
      <xdr:rowOff>68580</xdr:rowOff>
    </xdr:to>
    <xdr:sp macro="" textlink="">
      <xdr:nvSpPr>
        <xdr:cNvPr id="2" name="Rectangle: Rounded Corners 1">
          <a:hlinkClick xmlns:r="http://schemas.openxmlformats.org/officeDocument/2006/relationships" r:id="rId1" tooltip="Click to navigate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58740" y="358140"/>
          <a:ext cx="678180" cy="22098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2796540</xdr:colOff>
      <xdr:row>1</xdr:row>
      <xdr:rowOff>45720</xdr:rowOff>
    </xdr:from>
    <xdr:to>
      <xdr:col>7</xdr:col>
      <xdr:colOff>0</xdr:colOff>
      <xdr:row>2</xdr:row>
      <xdr:rowOff>0</xdr:rowOff>
    </xdr:to>
    <xdr:sp macro="" textlink="">
      <xdr:nvSpPr>
        <xdr:cNvPr id="2" name="Rectangle: Rounded Corners 1">
          <a:hlinkClick xmlns:r="http://schemas.openxmlformats.org/officeDocument/2006/relationships" r:id="rId1" tooltip="Click to navigate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294120" y="137160"/>
          <a:ext cx="678180" cy="22098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9</xdr:col>
      <xdr:colOff>7620</xdr:colOff>
      <xdr:row>3</xdr:row>
      <xdr:rowOff>0</xdr:rowOff>
    </xdr:to>
    <xdr:sp macro="" textlink="">
      <xdr:nvSpPr>
        <xdr:cNvPr id="2" name="Rectangle: Rounded Corners 1">
          <a:hlinkClick xmlns:r="http://schemas.openxmlformats.org/officeDocument/2006/relationships" r:id="rId1" tooltip="Click to navigate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827520" y="335280"/>
          <a:ext cx="678180" cy="22098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2</xdr:row>
      <xdr:rowOff>0</xdr:rowOff>
    </xdr:from>
    <xdr:to>
      <xdr:col>20</xdr:col>
      <xdr:colOff>7620</xdr:colOff>
      <xdr:row>3</xdr:row>
      <xdr:rowOff>0</xdr:rowOff>
    </xdr:to>
    <xdr:sp macro="" textlink="">
      <xdr:nvSpPr>
        <xdr:cNvPr id="2" name="Rectangle: Rounded Corners 1">
          <a:hlinkClick xmlns:r="http://schemas.openxmlformats.org/officeDocument/2006/relationships" r:id="rId1" tooltip="Click to navigate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300460" y="335280"/>
          <a:ext cx="678180" cy="22098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754380</xdr:colOff>
          <xdr:row>5</xdr:row>
          <xdr:rowOff>129540</xdr:rowOff>
        </xdr:from>
        <xdr:to>
          <xdr:col>19</xdr:col>
          <xdr:colOff>510540</xdr:colOff>
          <xdr:row>7</xdr:row>
          <xdr:rowOff>144780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pSpPr/>
          </xdr:nvGrpSpPr>
          <xdr:grpSpPr>
            <a:xfrm>
              <a:off x="8936355" y="1072515"/>
              <a:ext cx="3947159" cy="377190"/>
              <a:chOff x="9357358" y="754380"/>
              <a:chExt cx="3520443" cy="281940"/>
            </a:xfrm>
          </xdr:grpSpPr>
          <xdr:sp macro="" textlink="">
            <xdr:nvSpPr>
              <xdr:cNvPr id="24577" name="Drop Down 1" hidden="1">
                <a:extLst>
                  <a:ext uri="{63B3BB69-23CF-44E3-9099-C40C66FF867C}">
                    <a14:compatExt spid="_x0000_s24577"/>
                  </a:ext>
                  <a:ext uri="{FF2B5EF4-FFF2-40B4-BE49-F238E27FC236}">
                    <a16:creationId xmlns:a16="http://schemas.microsoft.com/office/drawing/2014/main" id="{00000000-0008-0000-0400-000001600000}"/>
                  </a:ext>
                </a:extLst>
              </xdr:cNvPr>
              <xdr:cNvSpPr/>
            </xdr:nvSpPr>
            <xdr:spPr bwMode="auto">
              <a:xfrm>
                <a:off x="11727180" y="754380"/>
                <a:ext cx="1150621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4578" name="Drop Down 2" hidden="1">
                <a:extLst>
                  <a:ext uri="{63B3BB69-23CF-44E3-9099-C40C66FF867C}">
                    <a14:compatExt spid="_x0000_s24578"/>
                  </a:ext>
                  <a:ext uri="{FF2B5EF4-FFF2-40B4-BE49-F238E27FC236}">
                    <a16:creationId xmlns:a16="http://schemas.microsoft.com/office/drawing/2014/main" id="{00000000-0008-0000-0400-000002600000}"/>
                  </a:ext>
                </a:extLst>
              </xdr:cNvPr>
              <xdr:cNvSpPr/>
            </xdr:nvSpPr>
            <xdr:spPr bwMode="auto">
              <a:xfrm>
                <a:off x="9357358" y="754380"/>
                <a:ext cx="1150621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4579" name="Drop Down 3" hidden="1">
                <a:extLst>
                  <a:ext uri="{63B3BB69-23CF-44E3-9099-C40C66FF867C}">
                    <a14:compatExt spid="_x0000_s24579"/>
                  </a:ext>
                  <a:ext uri="{FF2B5EF4-FFF2-40B4-BE49-F238E27FC236}">
                    <a16:creationId xmlns:a16="http://schemas.microsoft.com/office/drawing/2014/main" id="{00000000-0008-0000-0400-000003600000}"/>
                  </a:ext>
                </a:extLst>
              </xdr:cNvPr>
              <xdr:cNvSpPr/>
            </xdr:nvSpPr>
            <xdr:spPr bwMode="auto">
              <a:xfrm>
                <a:off x="10546080" y="754380"/>
                <a:ext cx="115062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0</xdr:col>
      <xdr:colOff>152400</xdr:colOff>
      <xdr:row>5</xdr:row>
      <xdr:rowOff>53340</xdr:rowOff>
    </xdr:from>
    <xdr:to>
      <xdr:col>9</xdr:col>
      <xdr:colOff>510540</xdr:colOff>
      <xdr:row>14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112395</xdr:colOff>
      <xdr:row>3</xdr:row>
      <xdr:rowOff>34290</xdr:rowOff>
    </xdr:from>
    <xdr:to>
      <xdr:col>11</xdr:col>
      <xdr:colOff>649605</xdr:colOff>
      <xdr:row>8</xdr:row>
      <xdr:rowOff>211455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pSpPr/>
      </xdr:nvGrpSpPr>
      <xdr:grpSpPr>
        <a:xfrm>
          <a:off x="6484620" y="586740"/>
          <a:ext cx="746760" cy="1205865"/>
          <a:chOff x="6705600" y="373380"/>
          <a:chExt cx="746760" cy="1203960"/>
        </a:xfrm>
      </xdr:grpSpPr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GrpSpPr/>
        </xdr:nvGrpSpPr>
        <xdr:grpSpPr>
          <a:xfrm>
            <a:off x="6705600" y="373380"/>
            <a:ext cx="723900" cy="975360"/>
            <a:chOff x="5303520" y="5494020"/>
            <a:chExt cx="723900" cy="975360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4580" name="Scroll Bar 4" hidden="1">
                  <a:extLst>
                    <a:ext uri="{63B3BB69-23CF-44E3-9099-C40C66FF867C}">
                      <a14:compatExt spid="_x0000_s24580"/>
                    </a:ext>
                    <a:ext uri="{FF2B5EF4-FFF2-40B4-BE49-F238E27FC236}">
                      <a16:creationId xmlns:a16="http://schemas.microsoft.com/office/drawing/2014/main" id="{00000000-0008-0000-0400-000004600000}"/>
                    </a:ext>
                  </a:extLst>
                </xdr:cNvPr>
                <xdr:cNvSpPr/>
              </xdr:nvSpPr>
              <xdr:spPr bwMode="auto">
                <a:xfrm>
                  <a:off x="5509260" y="5867400"/>
                  <a:ext cx="312420" cy="6019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</xdr:sp>
          </mc:Choice>
          <mc:Fallback/>
        </mc:AlternateContent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SpPr txBox="1"/>
          </xdr:nvSpPr>
          <xdr:spPr>
            <a:xfrm>
              <a:off x="5303520" y="5494020"/>
              <a:ext cx="723900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Revenue</a:t>
              </a:r>
            </a:p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growth</a:t>
              </a:r>
            </a:p>
          </xdr:txBody>
        </xdr:sp>
      </xdr:grpSp>
      <xdr:sp macro="" textlink="Scenarios!F30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 txBox="1"/>
        </xdr:nvSpPr>
        <xdr:spPr>
          <a:xfrm>
            <a:off x="6812280" y="1341120"/>
            <a:ext cx="640080" cy="2362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6BC51D05-EB07-4B0A-93BA-C17498D189CB}" type="TxLink">
              <a:rPr lang="en-US" sz="1100" b="0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0.0%</a:t>
            </a:fld>
            <a:endParaRPr lang="en-US" sz="11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11</xdr:col>
      <xdr:colOff>706755</xdr:colOff>
      <xdr:row>2</xdr:row>
      <xdr:rowOff>201930</xdr:rowOff>
    </xdr:from>
    <xdr:to>
      <xdr:col>12</xdr:col>
      <xdr:colOff>512445</xdr:colOff>
      <xdr:row>8</xdr:row>
      <xdr:rowOff>201930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7288530" y="525780"/>
          <a:ext cx="739140" cy="1257300"/>
          <a:chOff x="7513320" y="312420"/>
          <a:chExt cx="731520" cy="1257300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GrpSpPr/>
        </xdr:nvGrpSpPr>
        <xdr:grpSpPr>
          <a:xfrm>
            <a:off x="7513320" y="312420"/>
            <a:ext cx="723900" cy="1005840"/>
            <a:chOff x="5303520" y="5570220"/>
            <a:chExt cx="723900" cy="1005840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4581" name="Scroll Bar 5" hidden="1">
                  <a:extLst>
                    <a:ext uri="{63B3BB69-23CF-44E3-9099-C40C66FF867C}">
                      <a14:compatExt spid="_x0000_s24581"/>
                    </a:ext>
                    <a:ext uri="{FF2B5EF4-FFF2-40B4-BE49-F238E27FC236}">
                      <a16:creationId xmlns:a16="http://schemas.microsoft.com/office/drawing/2014/main" id="{00000000-0008-0000-0400-000005600000}"/>
                    </a:ext>
                  </a:extLst>
                </xdr:cNvPr>
                <xdr:cNvSpPr/>
              </xdr:nvSpPr>
              <xdr:spPr bwMode="auto">
                <a:xfrm>
                  <a:off x="5509260" y="5935980"/>
                  <a:ext cx="312420" cy="6400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</xdr:sp>
          </mc:Choice>
          <mc:Fallback/>
        </mc:AlternateContent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SpPr txBox="1"/>
          </xdr:nvSpPr>
          <xdr:spPr>
            <a:xfrm>
              <a:off x="5303520" y="5570220"/>
              <a:ext cx="723900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Direct</a:t>
              </a:r>
            </a:p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Cost</a:t>
              </a:r>
            </a:p>
          </xdr:txBody>
        </xdr:sp>
      </xdr:grpSp>
      <xdr:sp macro="" textlink="Scenarios!$F$31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 txBox="1"/>
        </xdr:nvSpPr>
        <xdr:spPr>
          <a:xfrm>
            <a:off x="7635240" y="1341120"/>
            <a:ext cx="60960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68BC16C-B31A-48B8-9C87-2A3B338FB714}" type="TxLink">
              <a:rPr lang="en-US" sz="1100" b="0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0.0%</a:t>
            </a:fld>
            <a:endParaRPr lang="en-US" sz="11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12</xdr:col>
      <xdr:colOff>512445</xdr:colOff>
      <xdr:row>3</xdr:row>
      <xdr:rowOff>129540</xdr:rowOff>
    </xdr:from>
    <xdr:to>
      <xdr:col>13</xdr:col>
      <xdr:colOff>582930</xdr:colOff>
      <xdr:row>8</xdr:row>
      <xdr:rowOff>173355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8027670" y="681990"/>
          <a:ext cx="737235" cy="1072515"/>
          <a:chOff x="8252460" y="464820"/>
          <a:chExt cx="731520" cy="107442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GrpSpPr/>
        </xdr:nvGrpSpPr>
        <xdr:grpSpPr>
          <a:xfrm>
            <a:off x="8252460" y="464820"/>
            <a:ext cx="723900" cy="845808"/>
            <a:chOff x="5295900" y="5730240"/>
            <a:chExt cx="723900" cy="845808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4582" name="Scroll Bar 6" hidden="1">
                  <a:extLst>
                    <a:ext uri="{63B3BB69-23CF-44E3-9099-C40C66FF867C}">
                      <a14:compatExt spid="_x0000_s24582"/>
                    </a:ext>
                    <a:ext uri="{FF2B5EF4-FFF2-40B4-BE49-F238E27FC236}">
                      <a16:creationId xmlns:a16="http://schemas.microsoft.com/office/drawing/2014/main" id="{00000000-0008-0000-0400-000006600000}"/>
                    </a:ext>
                  </a:extLst>
                </xdr:cNvPr>
                <xdr:cNvSpPr/>
              </xdr:nvSpPr>
              <xdr:spPr bwMode="auto">
                <a:xfrm>
                  <a:off x="5509260" y="5928360"/>
                  <a:ext cx="312420" cy="64768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</xdr:sp>
          </mc:Choice>
          <mc:Fallback/>
        </mc:AlternateContent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400-000011000000}"/>
                </a:ext>
              </a:extLst>
            </xdr:cNvPr>
            <xdr:cNvSpPr txBox="1"/>
          </xdr:nvSpPr>
          <xdr:spPr>
            <a:xfrm>
              <a:off x="5295900" y="5730240"/>
              <a:ext cx="723900" cy="21336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SG&amp;A</a:t>
              </a:r>
            </a:p>
          </xdr:txBody>
        </xdr:sp>
      </xdr:grpSp>
      <xdr:sp macro="" textlink="Scenarios!$F$32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 txBox="1"/>
        </xdr:nvSpPr>
        <xdr:spPr>
          <a:xfrm>
            <a:off x="8397240" y="1333500"/>
            <a:ext cx="586740" cy="2057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D18ED69F-DC8A-4892-AD48-C77A5F8AEAAB}" type="TxLink">
              <a:rPr lang="en-US" sz="1100" b="0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0.0%</a:t>
            </a:fld>
            <a:endParaRPr lang="en-US" sz="11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13</xdr:col>
      <xdr:colOff>754380</xdr:colOff>
      <xdr:row>3</xdr:row>
      <xdr:rowOff>167640</xdr:rowOff>
    </xdr:from>
    <xdr:to>
      <xdr:col>17</xdr:col>
      <xdr:colOff>518160</xdr:colOff>
      <xdr:row>5</xdr:row>
      <xdr:rowOff>53340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8945880" y="723900"/>
          <a:ext cx="2636520" cy="25908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t>Line Comparison</a:t>
          </a:r>
        </a:p>
      </xdr:txBody>
    </xdr:sp>
    <xdr:clientData/>
  </xdr:twoCellAnchor>
  <xdr:twoCellAnchor>
    <xdr:from>
      <xdr:col>17</xdr:col>
      <xdr:colOff>548640</xdr:colOff>
      <xdr:row>3</xdr:row>
      <xdr:rowOff>167640</xdr:rowOff>
    </xdr:from>
    <xdr:to>
      <xdr:col>19</xdr:col>
      <xdr:colOff>487680</xdr:colOff>
      <xdr:row>5</xdr:row>
      <xdr:rowOff>53340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11612880" y="723900"/>
          <a:ext cx="1280160" cy="25908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t>Scenarios</a:t>
          </a:r>
        </a:p>
      </xdr:txBody>
    </xdr:sp>
    <xdr:clientData/>
  </xdr:twoCellAnchor>
  <xdr:twoCellAnchor>
    <xdr:from>
      <xdr:col>11</xdr:col>
      <xdr:colOff>0</xdr:colOff>
      <xdr:row>2</xdr:row>
      <xdr:rowOff>15240</xdr:rowOff>
    </xdr:from>
    <xdr:to>
      <xdr:col>13</xdr:col>
      <xdr:colOff>381000</xdr:colOff>
      <xdr:row>3</xdr:row>
      <xdr:rowOff>30480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6591300" y="350520"/>
          <a:ext cx="1981200" cy="23622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t>Sensitivity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2</xdr:row>
      <xdr:rowOff>0</xdr:rowOff>
    </xdr:from>
    <xdr:to>
      <xdr:col>20</xdr:col>
      <xdr:colOff>7620</xdr:colOff>
      <xdr:row>3</xdr:row>
      <xdr:rowOff>0</xdr:rowOff>
    </xdr:to>
    <xdr:sp macro="" textlink="">
      <xdr:nvSpPr>
        <xdr:cNvPr id="3" name="Rectangle: Rounded Corners 2">
          <a:hlinkClick xmlns:r="http://schemas.openxmlformats.org/officeDocument/2006/relationships" r:id="rId1" tooltip="Click to navigate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2260580" y="335280"/>
          <a:ext cx="678180" cy="22098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2</xdr:row>
      <xdr:rowOff>0</xdr:rowOff>
    </xdr:from>
    <xdr:to>
      <xdr:col>20</xdr:col>
      <xdr:colOff>7620</xdr:colOff>
      <xdr:row>3</xdr:row>
      <xdr:rowOff>0</xdr:rowOff>
    </xdr:to>
    <xdr:sp macro="" textlink="">
      <xdr:nvSpPr>
        <xdr:cNvPr id="2" name="Rectangle: Rounded Corners 1">
          <a:hlinkClick xmlns:r="http://schemas.openxmlformats.org/officeDocument/2006/relationships" r:id="rId1" tooltip="Click to navigate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3426440" y="335280"/>
          <a:ext cx="678180" cy="22098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2</xdr:row>
          <xdr:rowOff>19050</xdr:rowOff>
        </xdr:from>
        <xdr:to>
          <xdr:col>18</xdr:col>
          <xdr:colOff>666750</xdr:colOff>
          <xdr:row>3</xdr:row>
          <xdr:rowOff>76200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6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2</xdr:row>
      <xdr:rowOff>7620</xdr:rowOff>
    </xdr:from>
    <xdr:to>
      <xdr:col>20</xdr:col>
      <xdr:colOff>7620</xdr:colOff>
      <xdr:row>3</xdr:row>
      <xdr:rowOff>7620</xdr:rowOff>
    </xdr:to>
    <xdr:sp macro="" textlink="">
      <xdr:nvSpPr>
        <xdr:cNvPr id="2" name="Rectangle: Rounded Corners 1">
          <a:hlinkClick xmlns:r="http://schemas.openxmlformats.org/officeDocument/2006/relationships" r:id="rId1" tooltip="Click to navigate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1300460" y="342900"/>
          <a:ext cx="678180" cy="22098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</xdr:row>
          <xdr:rowOff>57150</xdr:rowOff>
        </xdr:from>
        <xdr:to>
          <xdr:col>6</xdr:col>
          <xdr:colOff>247650</xdr:colOff>
          <xdr:row>12</xdr:row>
          <xdr:rowOff>161925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7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2</xdr:row>
          <xdr:rowOff>9525</xdr:rowOff>
        </xdr:from>
        <xdr:to>
          <xdr:col>19</xdr:col>
          <xdr:colOff>9525</xdr:colOff>
          <xdr:row>3</xdr:row>
          <xdr:rowOff>66675</xdr:rowOff>
        </xdr:to>
        <xdr:sp macro="" textlink="">
          <xdr:nvSpPr>
            <xdr:cNvPr id="19458" name="Drop Dow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45720</xdr:colOff>
      <xdr:row>2</xdr:row>
      <xdr:rowOff>0</xdr:rowOff>
    </xdr:from>
    <xdr:to>
      <xdr:col>20</xdr:col>
      <xdr:colOff>7620</xdr:colOff>
      <xdr:row>3</xdr:row>
      <xdr:rowOff>0</xdr:rowOff>
    </xdr:to>
    <xdr:sp macro="" textlink="">
      <xdr:nvSpPr>
        <xdr:cNvPr id="2" name="Rectangle: Rounded Corners 1">
          <a:hlinkClick xmlns:r="http://schemas.openxmlformats.org/officeDocument/2006/relationships" r:id="rId1" tooltip="Click to navigate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2832080" y="335280"/>
          <a:ext cx="678180" cy="22098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</xdr:row>
          <xdr:rowOff>19050</xdr:rowOff>
        </xdr:from>
        <xdr:to>
          <xdr:col>19</xdr:col>
          <xdr:colOff>38100</xdr:colOff>
          <xdr:row>3</xdr:row>
          <xdr:rowOff>76200</xdr:rowOff>
        </xdr:to>
        <xdr:sp macro="" textlink="">
          <xdr:nvSpPr>
            <xdr:cNvPr id="14346" name="Drop Dow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8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</xdr:colOff>
      <xdr:row>2</xdr:row>
      <xdr:rowOff>0</xdr:rowOff>
    </xdr:from>
    <xdr:to>
      <xdr:col>20</xdr:col>
      <xdr:colOff>15240</xdr:colOff>
      <xdr:row>3</xdr:row>
      <xdr:rowOff>0</xdr:rowOff>
    </xdr:to>
    <xdr:sp macro="" textlink="">
      <xdr:nvSpPr>
        <xdr:cNvPr id="2" name="Rectangle: Rounded Corners 1">
          <a:hlinkClick xmlns:r="http://schemas.openxmlformats.org/officeDocument/2006/relationships" r:id="rId1" tooltip="Click to navigate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1460480" y="335280"/>
          <a:ext cx="678180" cy="22098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2</xdr:row>
          <xdr:rowOff>9525</xdr:rowOff>
        </xdr:from>
        <xdr:to>
          <xdr:col>19</xdr:col>
          <xdr:colOff>9525</xdr:colOff>
          <xdr:row>3</xdr:row>
          <xdr:rowOff>66675</xdr:rowOff>
        </xdr:to>
        <xdr:sp macro="" textlink="">
          <xdr:nvSpPr>
            <xdr:cNvPr id="9229" name="Drop Dow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9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91440</xdr:colOff>
      <xdr:row>2</xdr:row>
      <xdr:rowOff>15240</xdr:rowOff>
    </xdr:from>
    <xdr:to>
      <xdr:col>20</xdr:col>
      <xdr:colOff>0</xdr:colOff>
      <xdr:row>3</xdr:row>
      <xdr:rowOff>15240</xdr:rowOff>
    </xdr:to>
    <xdr:sp macro="" textlink="">
      <xdr:nvSpPr>
        <xdr:cNvPr id="2" name="Rectangle: Rounded Corners 1">
          <a:hlinkClick xmlns:r="http://schemas.openxmlformats.org/officeDocument/2006/relationships" r:id="rId1" tooltip="Click to navigate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1201400" y="350520"/>
          <a:ext cx="678180" cy="22098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485775</xdr:colOff>
          <xdr:row>2</xdr:row>
          <xdr:rowOff>19050</xdr:rowOff>
        </xdr:from>
        <xdr:to>
          <xdr:col>19</xdr:col>
          <xdr:colOff>95250</xdr:colOff>
          <xdr:row>3</xdr:row>
          <xdr:rowOff>76200</xdr:rowOff>
        </xdr:to>
        <xdr:sp macro="" textlink="">
          <xdr:nvSpPr>
            <xdr:cNvPr id="10266" name="Drop Down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B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</xdr:colOff>
      <xdr:row>2</xdr:row>
      <xdr:rowOff>15240</xdr:rowOff>
    </xdr:from>
    <xdr:to>
      <xdr:col>20</xdr:col>
      <xdr:colOff>15240</xdr:colOff>
      <xdr:row>3</xdr:row>
      <xdr:rowOff>15240</xdr:rowOff>
    </xdr:to>
    <xdr:sp macro="" textlink="">
      <xdr:nvSpPr>
        <xdr:cNvPr id="2" name="Rectangle: Rounded Corners 1">
          <a:hlinkClick xmlns:r="http://schemas.openxmlformats.org/officeDocument/2006/relationships" r:id="rId1" tooltip="Click to navigate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1833860" y="350520"/>
          <a:ext cx="678180" cy="22098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2</xdr:row>
          <xdr:rowOff>19050</xdr:rowOff>
        </xdr:from>
        <xdr:to>
          <xdr:col>18</xdr:col>
          <xdr:colOff>666750</xdr:colOff>
          <xdr:row>3</xdr:row>
          <xdr:rowOff>85725</xdr:rowOff>
        </xdr:to>
        <xdr:sp macro="" textlink="">
          <xdr:nvSpPr>
            <xdr:cNvPr id="20486" name="Drop Dow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C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2</xdr:row>
      <xdr:rowOff>30480</xdr:rowOff>
    </xdr:from>
    <xdr:to>
      <xdr:col>20</xdr:col>
      <xdr:colOff>7620</xdr:colOff>
      <xdr:row>3</xdr:row>
      <xdr:rowOff>30480</xdr:rowOff>
    </xdr:to>
    <xdr:sp macro="" textlink="">
      <xdr:nvSpPr>
        <xdr:cNvPr id="2" name="Rectangle: Rounded Corners 1">
          <a:hlinkClick xmlns:r="http://schemas.openxmlformats.org/officeDocument/2006/relationships" r:id="rId1" tooltip="Click to navigate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1300460" y="365760"/>
          <a:ext cx="678180" cy="22098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171450</xdr:colOff>
          <xdr:row>2</xdr:row>
          <xdr:rowOff>19050</xdr:rowOff>
        </xdr:from>
        <xdr:to>
          <xdr:col>18</xdr:col>
          <xdr:colOff>657225</xdr:colOff>
          <xdr:row>3</xdr:row>
          <xdr:rowOff>85725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2</xdr:row>
      <xdr:rowOff>0</xdr:rowOff>
    </xdr:from>
    <xdr:to>
      <xdr:col>20</xdr:col>
      <xdr:colOff>7620</xdr:colOff>
      <xdr:row>3</xdr:row>
      <xdr:rowOff>0</xdr:rowOff>
    </xdr:to>
    <xdr:sp macro="" textlink="">
      <xdr:nvSpPr>
        <xdr:cNvPr id="2" name="Rectangle: Rounded Corners 1">
          <a:hlinkClick xmlns:r="http://schemas.openxmlformats.org/officeDocument/2006/relationships" r:id="rId1" tooltip="Click to navigate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1300460" y="335280"/>
          <a:ext cx="678180" cy="22098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171450</xdr:colOff>
          <xdr:row>2</xdr:row>
          <xdr:rowOff>28575</xdr:rowOff>
        </xdr:from>
        <xdr:to>
          <xdr:col>18</xdr:col>
          <xdr:colOff>647700</xdr:colOff>
          <xdr:row>3</xdr:row>
          <xdr:rowOff>95250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E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image" Target="../media/image4.png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1.xml"/><Relationship Id="rId5" Type="http://schemas.openxmlformats.org/officeDocument/2006/relationships/ctrlProp" Target="../ctrlProps/ctrlProp8.xml"/><Relationship Id="rId4" Type="http://schemas.openxmlformats.org/officeDocument/2006/relationships/image" Target="../media/image4.png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image" Target="../media/image4.png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1.xml"/><Relationship Id="rId4" Type="http://schemas.openxmlformats.org/officeDocument/2006/relationships/image" Target="../media/image4.png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2.xml"/><Relationship Id="rId4" Type="http://schemas.openxmlformats.org/officeDocument/2006/relationships/image" Target="../media/image4.png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3.xml"/><Relationship Id="rId5" Type="http://schemas.openxmlformats.org/officeDocument/2006/relationships/ctrlProp" Target="../ctrlProps/ctrlProp13.xml"/><Relationship Id="rId4" Type="http://schemas.openxmlformats.org/officeDocument/2006/relationships/image" Target="../media/image4.png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14.xml"/><Relationship Id="rId4" Type="http://schemas.openxmlformats.org/officeDocument/2006/relationships/image" Target="../media/image4.png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15.xml"/><Relationship Id="rId4" Type="http://schemas.openxmlformats.org/officeDocument/2006/relationships/image" Target="../media/image4.png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16.xml"/><Relationship Id="rId4" Type="http://schemas.openxmlformats.org/officeDocument/2006/relationships/image" Target="../media/image4.png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8097C-CC59-49FA-BC3F-76102321FFF2}">
  <sheetPr codeName="Sheet2">
    <tabColor theme="0" tint="-0.249977111117893"/>
  </sheetPr>
  <dimension ref="B10:G16"/>
  <sheetViews>
    <sheetView showGridLines="0" tabSelected="1" topLeftCell="A3" zoomScaleNormal="100" workbookViewId="0">
      <selection activeCell="F28" sqref="F28"/>
    </sheetView>
  </sheetViews>
  <sheetFormatPr defaultRowHeight="14.25" x14ac:dyDescent="0.2"/>
  <sheetData>
    <row r="10" spans="2:7" ht="20.25" x14ac:dyDescent="0.3">
      <c r="B10" s="22" t="str">
        <f>Menu!F7</f>
        <v>MTN Nigeria Communications Plc.</v>
      </c>
      <c r="C10" s="23"/>
      <c r="D10" s="23"/>
      <c r="E10" s="23"/>
      <c r="F10" s="23"/>
      <c r="G10" s="23"/>
    </row>
    <row r="11" spans="2:7" ht="20.25" x14ac:dyDescent="0.3">
      <c r="B11" s="22" t="str">
        <f>Menu!F9</f>
        <v>Nigeria</v>
      </c>
      <c r="C11" s="23"/>
      <c r="D11" s="23"/>
      <c r="E11" s="23"/>
      <c r="F11" s="23"/>
      <c r="G11" s="23"/>
    </row>
    <row r="13" spans="2:7" ht="18" x14ac:dyDescent="0.25">
      <c r="B13" s="21" t="str">
        <f>"Forecast Period: "&amp;Menu!F14+1&amp; " to "&amp;Menu!F16</f>
        <v>Forecast Period: 2021 to 2025</v>
      </c>
    </row>
    <row r="14" spans="2:7" ht="18" x14ac:dyDescent="0.25">
      <c r="B14" s="21" t="str">
        <f>"Model Objective: "&amp;Menu!F11</f>
        <v>Model Objective: Strategic Decision</v>
      </c>
    </row>
    <row r="16" spans="2:7" x14ac:dyDescent="0.2">
      <c r="B16" t="s">
        <v>358</v>
      </c>
      <c r="E16" s="88" t="b">
        <v>0</v>
      </c>
    </row>
  </sheetData>
  <pageMargins left="0.7" right="0.7" top="0.75" bottom="0.75" header="0.3" footer="0.3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defaultSize="0" autoFill="0" autoLine="0" autoPict="0">
                <anchor moveWithCells="1">
                  <from>
                    <xdr:col>3</xdr:col>
                    <xdr:colOff>209550</xdr:colOff>
                    <xdr:row>14</xdr:row>
                    <xdr:rowOff>161925</xdr:rowOff>
                  </from>
                  <to>
                    <xdr:col>4</xdr:col>
                    <xdr:colOff>19050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A1501-5EC6-457B-B522-A39F3B33363D}">
  <sheetPr codeName="Sheet3">
    <outlinePr summaryBelow="0" summaryRight="0"/>
    <pageSetUpPr fitToPage="1"/>
  </sheetPr>
  <dimension ref="B1:I26"/>
  <sheetViews>
    <sheetView showGridLines="0" workbookViewId="0">
      <selection activeCell="D6" sqref="D6"/>
    </sheetView>
  </sheetViews>
  <sheetFormatPr defaultColWidth="8.75" defaultRowHeight="14.25" outlineLevelRow="2" x14ac:dyDescent="0.2"/>
  <cols>
    <col min="1" max="3" width="3.625" style="4" customWidth="1"/>
    <col min="4" max="4" width="21.625" style="4" customWidth="1"/>
    <col min="5" max="5" width="5.5" style="4" customWidth="1"/>
    <col min="6" max="6" width="38.625" style="4" bestFit="1" customWidth="1"/>
    <col min="7" max="16384" width="8.75" style="4"/>
  </cols>
  <sheetData>
    <row r="1" spans="2:9" ht="5.45" customHeight="1" x14ac:dyDescent="0.2"/>
    <row r="2" spans="2:9" ht="20.25" x14ac:dyDescent="0.3">
      <c r="B2" s="20" t="str">
        <f>Menu!$F$7</f>
        <v>MTN Nigeria Communications Plc.</v>
      </c>
      <c r="C2" s="19"/>
      <c r="D2" s="19"/>
      <c r="E2" s="19"/>
      <c r="F2" s="19"/>
      <c r="G2"/>
      <c r="H2"/>
      <c r="I2"/>
    </row>
    <row r="3" spans="2:9" x14ac:dyDescent="0.2">
      <c r="G3"/>
      <c r="H3"/>
      <c r="I3"/>
    </row>
    <row r="4" spans="2:9" ht="19.5" x14ac:dyDescent="0.3">
      <c r="B4" s="2" t="s">
        <v>56</v>
      </c>
      <c r="C4" s="2"/>
      <c r="D4" s="2"/>
      <c r="E4" s="2"/>
      <c r="F4" s="28"/>
      <c r="G4"/>
      <c r="H4"/>
      <c r="I4"/>
    </row>
    <row r="5" spans="2:9" ht="15.75" outlineLevel="1" x14ac:dyDescent="0.25">
      <c r="C5" s="3" t="s">
        <v>61</v>
      </c>
      <c r="D5" s="3"/>
      <c r="E5" s="3"/>
      <c r="F5" s="29"/>
      <c r="G5"/>
      <c r="H5"/>
      <c r="I5"/>
    </row>
    <row r="6" spans="2:9" customFormat="1" outlineLevel="2" x14ac:dyDescent="0.2">
      <c r="D6" s="35" t="s">
        <v>69</v>
      </c>
      <c r="F6" s="8" t="s">
        <v>70</v>
      </c>
    </row>
    <row r="7" spans="2:9" outlineLevel="2" x14ac:dyDescent="0.2">
      <c r="D7" s="36" t="s">
        <v>79</v>
      </c>
      <c r="F7" s="8" t="s">
        <v>80</v>
      </c>
    </row>
    <row r="8" spans="2:9" outlineLevel="2" x14ac:dyDescent="0.2">
      <c r="D8" s="34" t="s">
        <v>58</v>
      </c>
      <c r="F8" s="8" t="s">
        <v>71</v>
      </c>
      <c r="G8"/>
      <c r="H8"/>
      <c r="I8"/>
    </row>
    <row r="9" spans="2:9" outlineLevel="2" x14ac:dyDescent="0.2">
      <c r="D9" s="33" t="s">
        <v>59</v>
      </c>
      <c r="F9" s="8" t="s">
        <v>72</v>
      </c>
    </row>
    <row r="10" spans="2:9" outlineLevel="2" x14ac:dyDescent="0.2">
      <c r="D10" s="33" t="s">
        <v>179</v>
      </c>
      <c r="F10" s="8" t="s">
        <v>72</v>
      </c>
    </row>
    <row r="11" spans="2:9" ht="5.45" customHeight="1" outlineLevel="2" x14ac:dyDescent="0.2">
      <c r="F11" s="8"/>
    </row>
    <row r="12" spans="2:9" ht="15.75" outlineLevel="1" x14ac:dyDescent="0.25">
      <c r="C12" s="3" t="s">
        <v>62</v>
      </c>
      <c r="D12" s="3"/>
      <c r="E12" s="3"/>
      <c r="F12" s="29"/>
    </row>
    <row r="13" spans="2:9" outlineLevel="2" x14ac:dyDescent="0.2">
      <c r="D13" s="32" t="s">
        <v>60</v>
      </c>
      <c r="F13" s="8" t="s">
        <v>73</v>
      </c>
    </row>
    <row r="14" spans="2:9" ht="5.45" customHeight="1" outlineLevel="2" x14ac:dyDescent="0.2">
      <c r="F14" s="8"/>
    </row>
    <row r="15" spans="2:9" ht="15.75" outlineLevel="1" x14ac:dyDescent="0.25">
      <c r="C15" s="3" t="s">
        <v>63</v>
      </c>
      <c r="D15" s="3"/>
      <c r="E15" s="3"/>
      <c r="F15" s="29"/>
    </row>
    <row r="16" spans="2:9" outlineLevel="2" x14ac:dyDescent="0.2">
      <c r="D16" s="4" t="s">
        <v>57</v>
      </c>
      <c r="F16" s="8" t="s">
        <v>74</v>
      </c>
    </row>
    <row r="17" spans="3:6" outlineLevel="2" x14ac:dyDescent="0.2">
      <c r="D17" s="31" t="s">
        <v>64</v>
      </c>
      <c r="F17" s="8" t="s">
        <v>75</v>
      </c>
    </row>
    <row r="18" spans="3:6" outlineLevel="2" x14ac:dyDescent="0.2">
      <c r="D18" s="31" t="s">
        <v>65</v>
      </c>
      <c r="F18" s="8" t="s">
        <v>76</v>
      </c>
    </row>
    <row r="19" spans="3:6" outlineLevel="2" x14ac:dyDescent="0.2">
      <c r="D19" s="31" t="s">
        <v>66</v>
      </c>
      <c r="F19" s="8" t="s">
        <v>77</v>
      </c>
    </row>
    <row r="20" spans="3:6" ht="5.45" customHeight="1" outlineLevel="2" x14ac:dyDescent="0.2">
      <c r="F20" s="8"/>
    </row>
    <row r="21" spans="3:6" ht="15.75" outlineLevel="1" x14ac:dyDescent="0.25">
      <c r="C21" s="3" t="s">
        <v>68</v>
      </c>
      <c r="D21" s="3"/>
      <c r="E21" s="3"/>
      <c r="F21" s="29"/>
    </row>
    <row r="22" spans="3:6" outlineLevel="2" x14ac:dyDescent="0.2">
      <c r="D22" s="30" t="s">
        <v>67</v>
      </c>
      <c r="F22" s="8" t="s">
        <v>78</v>
      </c>
    </row>
    <row r="23" spans="3:6" outlineLevel="2" x14ac:dyDescent="0.2">
      <c r="D23" s="30"/>
      <c r="F23" s="8"/>
    </row>
    <row r="24" spans="3:6" outlineLevel="2" x14ac:dyDescent="0.2">
      <c r="D24" s="30"/>
      <c r="F24" s="8"/>
    </row>
    <row r="25" spans="3:6" outlineLevel="2" x14ac:dyDescent="0.2"/>
    <row r="26" spans="3:6" outlineLevel="1" x14ac:dyDescent="0.2"/>
  </sheetData>
  <pageMargins left="0.7" right="0.7" top="0.75" bottom="0.75" header="0.3" footer="0.3"/>
  <pageSetup paperSize="9" fitToHeight="0" orientation="landscape" r:id="rId1"/>
  <headerFooter>
    <oddFooter>&amp;LPrinted on: &amp;D at &amp;T&amp;C&amp;A&amp;R&amp;P of &amp;N</oddFooter>
  </headerFooter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16924-53C7-4391-9867-1A416564F2FF}">
  <sheetPr codeName="Sheet4">
    <tabColor theme="1"/>
    <outlinePr summaryBelow="0" summaryRight="0"/>
    <pageSetUpPr fitToPage="1"/>
  </sheetPr>
  <dimension ref="B1:G45"/>
  <sheetViews>
    <sheetView showGridLines="0" zoomScaleNormal="100" workbookViewId="0">
      <pane ySplit="3" topLeftCell="A4" activePane="bottomLeft" state="frozen"/>
      <selection pane="bottomLeft" activeCell="K8" sqref="K8"/>
    </sheetView>
  </sheetViews>
  <sheetFormatPr defaultRowHeight="14.25" outlineLevelRow="2" x14ac:dyDescent="0.2"/>
  <cols>
    <col min="1" max="3" width="3.625" customWidth="1"/>
    <col min="4" max="4" width="21.625" customWidth="1"/>
    <col min="5" max="5" width="12" bestFit="1" customWidth="1"/>
    <col min="6" max="6" width="1.5" customWidth="1"/>
    <col min="7" max="7" width="45.625" bestFit="1" customWidth="1"/>
  </cols>
  <sheetData>
    <row r="1" spans="2:7" ht="7.15" customHeight="1" x14ac:dyDescent="0.2"/>
    <row r="2" spans="2:7" s="4" customFormat="1" ht="20.25" x14ac:dyDescent="0.3">
      <c r="B2" s="20" t="str">
        <f>Menu!$F$7</f>
        <v>MTN Nigeria Communications Plc.</v>
      </c>
      <c r="C2" s="19"/>
      <c r="D2" s="19"/>
      <c r="E2" s="19"/>
      <c r="F2" s="19"/>
      <c r="G2" s="19"/>
    </row>
    <row r="3" spans="2:7" ht="6" customHeight="1" x14ac:dyDescent="0.2"/>
    <row r="4" spans="2:7" ht="19.5" x14ac:dyDescent="0.3">
      <c r="B4" s="2" t="s">
        <v>0</v>
      </c>
      <c r="C4" s="2"/>
      <c r="D4" s="2"/>
      <c r="E4" s="2"/>
      <c r="F4" s="2"/>
      <c r="G4" s="2"/>
    </row>
    <row r="5" spans="2:7" ht="15.75" outlineLevel="1" x14ac:dyDescent="0.25">
      <c r="C5" s="3" t="s">
        <v>1</v>
      </c>
      <c r="D5" s="3"/>
      <c r="E5" s="3"/>
      <c r="F5" s="3"/>
      <c r="G5" s="3"/>
    </row>
    <row r="6" spans="2:7" ht="21" customHeight="1" outlineLevel="2" x14ac:dyDescent="0.2">
      <c r="D6" s="5" t="s">
        <v>2</v>
      </c>
      <c r="E6" s="5" t="s">
        <v>3</v>
      </c>
      <c r="F6" s="5"/>
      <c r="G6" s="5" t="s">
        <v>4</v>
      </c>
    </row>
    <row r="7" spans="2:7" ht="21" customHeight="1" outlineLevel="2" x14ac:dyDescent="0.2">
      <c r="D7" t="s">
        <v>5</v>
      </c>
      <c r="E7" s="1">
        <v>12345</v>
      </c>
      <c r="G7" s="8" t="s">
        <v>20</v>
      </c>
    </row>
    <row r="8" spans="2:7" ht="21" customHeight="1" outlineLevel="2" x14ac:dyDescent="0.2">
      <c r="D8" t="s">
        <v>6</v>
      </c>
      <c r="E8" s="9">
        <v>12345</v>
      </c>
      <c r="G8" s="8" t="s">
        <v>21</v>
      </c>
    </row>
    <row r="9" spans="2:7" ht="21" customHeight="1" outlineLevel="2" x14ac:dyDescent="0.2">
      <c r="D9" t="s">
        <v>7</v>
      </c>
      <c r="E9" s="10">
        <v>12345</v>
      </c>
      <c r="G9" s="8" t="s">
        <v>22</v>
      </c>
    </row>
    <row r="10" spans="2:7" ht="21" customHeight="1" outlineLevel="2" x14ac:dyDescent="0.2">
      <c r="D10" t="s">
        <v>8</v>
      </c>
      <c r="E10" s="11">
        <v>5.5E-2</v>
      </c>
      <c r="G10" s="8" t="s">
        <v>23</v>
      </c>
    </row>
    <row r="11" spans="2:7" ht="21" customHeight="1" outlineLevel="2" x14ac:dyDescent="0.2">
      <c r="D11" t="s">
        <v>9</v>
      </c>
      <c r="E11" s="12">
        <v>5.5</v>
      </c>
      <c r="G11" s="8" t="s">
        <v>24</v>
      </c>
    </row>
    <row r="12" spans="2:7" ht="21" customHeight="1" outlineLevel="2" x14ac:dyDescent="0.2">
      <c r="D12" t="s">
        <v>10</v>
      </c>
      <c r="E12" s="13">
        <v>12345</v>
      </c>
      <c r="G12" s="8" t="s">
        <v>25</v>
      </c>
    </row>
    <row r="13" spans="2:7" ht="21" customHeight="1" outlineLevel="2" thickBot="1" x14ac:dyDescent="0.3">
      <c r="D13" t="s">
        <v>11</v>
      </c>
      <c r="E13" s="14">
        <v>12345</v>
      </c>
      <c r="G13" s="8" t="s">
        <v>26</v>
      </c>
    </row>
    <row r="14" spans="2:7" ht="21" customHeight="1" outlineLevel="2" thickTop="1" x14ac:dyDescent="0.2">
      <c r="D14" t="s">
        <v>12</v>
      </c>
      <c r="E14" s="9" t="s">
        <v>17</v>
      </c>
      <c r="G14" s="8" t="s">
        <v>27</v>
      </c>
    </row>
    <row r="15" spans="2:7" ht="21" customHeight="1" outlineLevel="2" x14ac:dyDescent="0.2">
      <c r="D15" t="s">
        <v>13</v>
      </c>
      <c r="E15" s="15" t="s">
        <v>3</v>
      </c>
      <c r="G15" s="8" t="s">
        <v>28</v>
      </c>
    </row>
    <row r="16" spans="2:7" ht="21" customHeight="1" outlineLevel="2" x14ac:dyDescent="0.2">
      <c r="D16" t="s">
        <v>14</v>
      </c>
      <c r="E16" s="16" t="s">
        <v>18</v>
      </c>
      <c r="G16" s="8" t="s">
        <v>29</v>
      </c>
    </row>
    <row r="17" spans="2:7" s="4" customFormat="1" ht="21" customHeight="1" outlineLevel="2" x14ac:dyDescent="0.2">
      <c r="D17" s="4" t="s">
        <v>86</v>
      </c>
      <c r="E17" s="39">
        <v>12345</v>
      </c>
      <c r="G17" s="8" t="s">
        <v>87</v>
      </c>
    </row>
    <row r="18" spans="2:7" ht="21" customHeight="1" outlineLevel="2" x14ac:dyDescent="0.3">
      <c r="D18" t="s">
        <v>15</v>
      </c>
      <c r="E18" s="17" t="s">
        <v>19</v>
      </c>
      <c r="G18" s="8" t="s">
        <v>30</v>
      </c>
    </row>
    <row r="19" spans="2:7" ht="21" customHeight="1" outlineLevel="2" x14ac:dyDescent="0.25">
      <c r="D19" s="4" t="s">
        <v>16</v>
      </c>
      <c r="E19" s="18" t="s">
        <v>19</v>
      </c>
      <c r="G19" s="8" t="s">
        <v>31</v>
      </c>
    </row>
    <row r="20" spans="2:7" outlineLevel="2" x14ac:dyDescent="0.2"/>
    <row r="21" spans="2:7" s="4" customFormat="1" ht="19.5" x14ac:dyDescent="0.3">
      <c r="B21" s="2" t="s">
        <v>54</v>
      </c>
      <c r="C21" s="2"/>
      <c r="D21" s="2"/>
      <c r="E21" s="2"/>
      <c r="F21" s="2"/>
      <c r="G21" s="2"/>
    </row>
    <row r="22" spans="2:7" s="4" customFormat="1" ht="15.75" outlineLevel="1" x14ac:dyDescent="0.25">
      <c r="C22" s="3" t="s">
        <v>44</v>
      </c>
      <c r="D22" s="3"/>
      <c r="E22" s="3"/>
      <c r="F22" s="3"/>
      <c r="G22" s="3"/>
    </row>
    <row r="23" spans="2:7" outlineLevel="2" x14ac:dyDescent="0.2">
      <c r="D23" t="s">
        <v>47</v>
      </c>
      <c r="E23" t="s">
        <v>45</v>
      </c>
      <c r="G23" s="8" t="s">
        <v>49</v>
      </c>
    </row>
    <row r="24" spans="2:7" outlineLevel="2" x14ac:dyDescent="0.2">
      <c r="D24" t="s">
        <v>48</v>
      </c>
      <c r="E24" s="4" t="s">
        <v>46</v>
      </c>
      <c r="G24" s="8" t="s">
        <v>50</v>
      </c>
    </row>
    <row r="25" spans="2:7" outlineLevel="2" x14ac:dyDescent="0.2">
      <c r="D25" t="s">
        <v>191</v>
      </c>
      <c r="G25" s="8" t="s">
        <v>408</v>
      </c>
    </row>
    <row r="26" spans="2:7" outlineLevel="2" x14ac:dyDescent="0.2">
      <c r="D26" t="s">
        <v>188</v>
      </c>
      <c r="G26" s="8" t="s">
        <v>409</v>
      </c>
    </row>
    <row r="27" spans="2:7" s="4" customFormat="1" outlineLevel="2" x14ac:dyDescent="0.2"/>
    <row r="28" spans="2:7" s="4" customFormat="1" ht="15.75" outlineLevel="1" x14ac:dyDescent="0.25">
      <c r="C28" s="3" t="s">
        <v>51</v>
      </c>
      <c r="D28" s="3"/>
      <c r="E28" s="3"/>
      <c r="F28" s="3"/>
      <c r="G28" s="3"/>
    </row>
    <row r="29" spans="2:7" outlineLevel="2" x14ac:dyDescent="0.2">
      <c r="D29" t="s">
        <v>410</v>
      </c>
      <c r="E29" s="8" t="s">
        <v>411</v>
      </c>
    </row>
    <row r="30" spans="2:7" outlineLevel="2" x14ac:dyDescent="0.2">
      <c r="D30" t="s">
        <v>412</v>
      </c>
      <c r="E30" s="8" t="s">
        <v>413</v>
      </c>
    </row>
    <row r="31" spans="2:7" outlineLevel="2" x14ac:dyDescent="0.2">
      <c r="D31" t="s">
        <v>414</v>
      </c>
      <c r="E31" s="8" t="s">
        <v>415</v>
      </c>
    </row>
    <row r="32" spans="2:7" outlineLevel="2" x14ac:dyDescent="0.2">
      <c r="D32" t="s">
        <v>416</v>
      </c>
      <c r="E32" s="8" t="s">
        <v>417</v>
      </c>
    </row>
    <row r="33" spans="4:5" outlineLevel="2" x14ac:dyDescent="0.2">
      <c r="D33" t="s">
        <v>418</v>
      </c>
      <c r="E33" s="8" t="s">
        <v>419</v>
      </c>
    </row>
    <row r="34" spans="4:5" outlineLevel="2" x14ac:dyDescent="0.2">
      <c r="D34" t="s">
        <v>420</v>
      </c>
      <c r="E34" s="8" t="s">
        <v>421</v>
      </c>
    </row>
    <row r="35" spans="4:5" outlineLevel="2" x14ac:dyDescent="0.2">
      <c r="D35" t="s">
        <v>422</v>
      </c>
      <c r="E35" s="8" t="s">
        <v>423</v>
      </c>
    </row>
    <row r="36" spans="4:5" outlineLevel="2" x14ac:dyDescent="0.2">
      <c r="D36" t="s">
        <v>424</v>
      </c>
      <c r="E36" s="8" t="s">
        <v>425</v>
      </c>
    </row>
    <row r="37" spans="4:5" outlineLevel="2" x14ac:dyDescent="0.2">
      <c r="D37" t="s">
        <v>426</v>
      </c>
      <c r="E37" s="8" t="s">
        <v>427</v>
      </c>
    </row>
    <row r="38" spans="4:5" outlineLevel="2" x14ac:dyDescent="0.2">
      <c r="D38" t="s">
        <v>428</v>
      </c>
      <c r="E38" s="8" t="s">
        <v>429</v>
      </c>
    </row>
    <row r="39" spans="4:5" outlineLevel="2" x14ac:dyDescent="0.2">
      <c r="D39" t="s">
        <v>430</v>
      </c>
      <c r="E39" s="8" t="s">
        <v>431</v>
      </c>
    </row>
    <row r="40" spans="4:5" outlineLevel="2" x14ac:dyDescent="0.2"/>
    <row r="41" spans="4:5" outlineLevel="2" x14ac:dyDescent="0.2"/>
    <row r="42" spans="4:5" outlineLevel="2" x14ac:dyDescent="0.2"/>
    <row r="43" spans="4:5" outlineLevel="2" x14ac:dyDescent="0.2"/>
    <row r="44" spans="4:5" outlineLevel="1" x14ac:dyDescent="0.2"/>
    <row r="45" spans="4:5" outlineLevel="1" x14ac:dyDescent="0.2"/>
  </sheetData>
  <pageMargins left="0.7" right="0.7" top="0.75" bottom="0.75" header="0.3" footer="0.3"/>
  <pageSetup paperSize="9" fitToHeight="0" orientation="landscape" r:id="rId1"/>
  <headerFooter>
    <oddFooter>&amp;LPrinted on: &amp;D at &amp;T&amp;C&amp;A&amp;R&amp;P of &amp;N</oddFooter>
  </headerFooter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0C69A-7986-4DC9-B738-93D51535FEF5}">
  <sheetPr codeName="Sheet5">
    <tabColor rgb="FFC00000"/>
    <outlinePr summaryBelow="0" summaryRight="0"/>
    <pageSetUpPr fitToPage="1"/>
  </sheetPr>
  <dimension ref="B1:I30"/>
  <sheetViews>
    <sheetView showGridLines="0" workbookViewId="0"/>
  </sheetViews>
  <sheetFormatPr defaultRowHeight="14.25" outlineLevelRow="2" x14ac:dyDescent="0.2"/>
  <cols>
    <col min="1" max="3" width="3.625" customWidth="1"/>
    <col min="4" max="4" width="27" bestFit="1" customWidth="1"/>
    <col min="5" max="5" width="5.5" customWidth="1"/>
    <col min="6" max="6" width="28.75" bestFit="1" customWidth="1"/>
  </cols>
  <sheetData>
    <row r="1" spans="2:9" ht="5.45" customHeight="1" x14ac:dyDescent="0.2"/>
    <row r="2" spans="2:9" ht="20.25" x14ac:dyDescent="0.3">
      <c r="B2" s="20" t="str">
        <f>Menu!$F$7</f>
        <v>MTN Nigeria Communications Plc.</v>
      </c>
      <c r="C2" s="19"/>
      <c r="D2" s="19"/>
      <c r="E2" s="19"/>
      <c r="F2" s="19"/>
      <c r="G2" s="19"/>
      <c r="H2" s="19"/>
      <c r="I2" s="19"/>
    </row>
    <row r="3" spans="2:9" ht="18" x14ac:dyDescent="0.25">
      <c r="B3" s="40" t="s">
        <v>79</v>
      </c>
    </row>
    <row r="4" spans="2:9" s="4" customFormat="1" x14ac:dyDescent="0.2"/>
    <row r="5" spans="2:9" ht="19.5" x14ac:dyDescent="0.3">
      <c r="B5" s="2" t="s">
        <v>33</v>
      </c>
      <c r="C5" s="2"/>
      <c r="D5" s="2"/>
      <c r="E5" s="2"/>
      <c r="F5" s="2"/>
      <c r="G5" s="2"/>
      <c r="H5" s="2"/>
      <c r="I5" s="2"/>
    </row>
    <row r="6" spans="2:9" s="4" customFormat="1" ht="15.75" outlineLevel="1" x14ac:dyDescent="0.25">
      <c r="C6" s="3" t="s">
        <v>39</v>
      </c>
      <c r="D6" s="3"/>
      <c r="E6" s="3"/>
      <c r="F6" s="3"/>
      <c r="G6" s="3"/>
      <c r="H6" s="3"/>
      <c r="I6" s="3"/>
    </row>
    <row r="7" spans="2:9" outlineLevel="2" x14ac:dyDescent="0.2">
      <c r="D7" t="s">
        <v>32</v>
      </c>
      <c r="F7" s="6" t="s">
        <v>36</v>
      </c>
    </row>
    <row r="8" spans="2:9" outlineLevel="2" x14ac:dyDescent="0.2">
      <c r="D8" t="s">
        <v>35</v>
      </c>
      <c r="F8" s="6" t="s">
        <v>37</v>
      </c>
    </row>
    <row r="9" spans="2:9" outlineLevel="2" x14ac:dyDescent="0.2">
      <c r="D9" t="s">
        <v>34</v>
      </c>
      <c r="F9" s="6" t="s">
        <v>38</v>
      </c>
    </row>
    <row r="10" spans="2:9" s="4" customFormat="1" outlineLevel="2" x14ac:dyDescent="0.2">
      <c r="D10" s="4" t="s">
        <v>122</v>
      </c>
      <c r="F10" s="6" t="s">
        <v>123</v>
      </c>
    </row>
    <row r="11" spans="2:9" outlineLevel="2" x14ac:dyDescent="0.2">
      <c r="D11" t="s">
        <v>52</v>
      </c>
      <c r="F11" s="6" t="s">
        <v>53</v>
      </c>
    </row>
    <row r="12" spans="2:9" s="4" customFormat="1" outlineLevel="2" x14ac:dyDescent="0.2"/>
    <row r="13" spans="2:9" s="4" customFormat="1" ht="15.75" outlineLevel="1" x14ac:dyDescent="0.25">
      <c r="C13" s="3" t="s">
        <v>40</v>
      </c>
      <c r="D13" s="3"/>
      <c r="E13" s="3"/>
      <c r="F13" s="3"/>
      <c r="G13" s="3"/>
      <c r="H13" s="3"/>
      <c r="I13" s="3"/>
    </row>
    <row r="14" spans="2:9" outlineLevel="2" x14ac:dyDescent="0.2">
      <c r="D14" t="s">
        <v>41</v>
      </c>
      <c r="F14" s="24">
        <v>2020</v>
      </c>
    </row>
    <row r="15" spans="2:9" outlineLevel="2" x14ac:dyDescent="0.2">
      <c r="D15" t="s">
        <v>42</v>
      </c>
      <c r="F15" s="25">
        <v>5</v>
      </c>
    </row>
    <row r="16" spans="2:9" outlineLevel="2" x14ac:dyDescent="0.2">
      <c r="D16" t="s">
        <v>43</v>
      </c>
      <c r="F16" s="26">
        <f>F14+F15</f>
        <v>2025</v>
      </c>
    </row>
    <row r="17" spans="3:9" outlineLevel="2" x14ac:dyDescent="0.2">
      <c r="D17" t="s">
        <v>55</v>
      </c>
      <c r="F17" s="27">
        <v>12</v>
      </c>
    </row>
    <row r="18" spans="3:9" outlineLevel="2" x14ac:dyDescent="0.2"/>
    <row r="19" spans="3:9" s="4" customFormat="1" ht="15.75" outlineLevel="1" x14ac:dyDescent="0.25">
      <c r="C19" s="3" t="s">
        <v>92</v>
      </c>
      <c r="D19" s="3"/>
      <c r="E19" s="3"/>
      <c r="F19" s="3"/>
      <c r="G19" s="3"/>
      <c r="H19" s="3"/>
      <c r="I19" s="3"/>
    </row>
    <row r="20" spans="3:9" outlineLevel="2" x14ac:dyDescent="0.2">
      <c r="D20" s="8" t="s">
        <v>93</v>
      </c>
    </row>
    <row r="21" spans="3:9" outlineLevel="2" x14ac:dyDescent="0.2">
      <c r="D21" t="s">
        <v>94</v>
      </c>
      <c r="F21" s="43">
        <v>10.08</v>
      </c>
    </row>
    <row r="22" spans="3:9" outlineLevel="2" x14ac:dyDescent="0.2">
      <c r="D22" t="s">
        <v>95</v>
      </c>
      <c r="F22" s="43">
        <v>8.76</v>
      </c>
    </row>
    <row r="23" spans="3:9" outlineLevel="2" x14ac:dyDescent="0.2">
      <c r="D23" t="s">
        <v>96</v>
      </c>
      <c r="F23" s="43">
        <v>169.9</v>
      </c>
    </row>
    <row r="24" spans="3:9" outlineLevel="2" x14ac:dyDescent="0.2">
      <c r="D24" t="s">
        <v>97</v>
      </c>
      <c r="F24" s="9">
        <f>F23*(F25/1000)</f>
        <v>3458231.7587000001</v>
      </c>
    </row>
    <row r="25" spans="3:9" outlineLevel="2" x14ac:dyDescent="0.2">
      <c r="D25" t="s">
        <v>98</v>
      </c>
      <c r="F25" s="1">
        <v>20354513</v>
      </c>
    </row>
    <row r="26" spans="3:9" outlineLevel="2" x14ac:dyDescent="0.2"/>
    <row r="27" spans="3:9" outlineLevel="2" x14ac:dyDescent="0.2">
      <c r="F27" s="7"/>
    </row>
    <row r="28" spans="3:9" outlineLevel="1" x14ac:dyDescent="0.2"/>
    <row r="29" spans="3:9" outlineLevel="1" x14ac:dyDescent="0.2"/>
    <row r="30" spans="3:9" outlineLevel="1" x14ac:dyDescent="0.2"/>
  </sheetData>
  <pageMargins left="0.7" right="0.7" top="0.75" bottom="0.75" header="0.3" footer="0.3"/>
  <pageSetup paperSize="9" fitToHeight="0" orientation="landscape" r:id="rId1"/>
  <headerFooter>
    <oddFooter>&amp;LPrinted on: &amp;D at &amp;T&amp;C&amp;A&amp;R&amp;P of &amp;N</oddFooter>
  </headerFooter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DE364-F71A-451E-974E-F76A3D8DED8A}">
  <sheetPr codeName="Sheet6">
    <tabColor rgb="FF002060"/>
    <pageSetUpPr fitToPage="1"/>
  </sheetPr>
  <dimension ref="A1:U16"/>
  <sheetViews>
    <sheetView showGridLines="0" zoomScaleNormal="100" workbookViewId="0"/>
  </sheetViews>
  <sheetFormatPr defaultColWidth="0" defaultRowHeight="14.25" zeroHeight="1" x14ac:dyDescent="0.2"/>
  <cols>
    <col min="1" max="3" width="3.625" style="4" customWidth="1"/>
    <col min="4" max="4" width="21.625" style="4" customWidth="1"/>
    <col min="5" max="5" width="5.5" style="4" customWidth="1"/>
    <col min="6" max="6" width="9.25" style="4" customWidth="1"/>
    <col min="7" max="7" width="8.75" style="4" customWidth="1"/>
    <col min="8" max="8" width="1.875" style="4" customWidth="1"/>
    <col min="9" max="9" width="11.75" style="4" bestFit="1" customWidth="1"/>
    <col min="10" max="10" width="14" style="4" bestFit="1" customWidth="1"/>
    <col min="11" max="11" width="2.75" style="4" customWidth="1"/>
    <col min="12" max="12" width="12.25" style="4" bestFit="1" customWidth="1"/>
    <col min="13" max="13" width="8.75" style="4" customWidth="1"/>
    <col min="14" max="14" width="11.25" style="4" bestFit="1" customWidth="1"/>
    <col min="15" max="21" width="8.75" style="4" customWidth="1"/>
    <col min="22" max="16384" width="8.75" style="4" hidden="1"/>
  </cols>
  <sheetData>
    <row r="1" spans="2:20" ht="5.45" customHeight="1" x14ac:dyDescent="0.2"/>
    <row r="2" spans="2:20" ht="20.25" x14ac:dyDescent="0.3">
      <c r="B2" s="20" t="str">
        <f>Menu!$F$7</f>
        <v>MTN Nigeria Communications Plc.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spans="2:20" ht="18" x14ac:dyDescent="0.25">
      <c r="C3" s="40" t="s">
        <v>57</v>
      </c>
    </row>
    <row r="4" spans="2:20" ht="15" x14ac:dyDescent="0.25">
      <c r="D4" s="96" t="str">
        <f>Scenario</f>
        <v>Live Scenario: Base case</v>
      </c>
    </row>
    <row r="5" spans="2:20" ht="15.75" x14ac:dyDescent="0.25">
      <c r="D5" s="107" t="str">
        <f>Balanced</f>
        <v>Model Balance Check: OK</v>
      </c>
      <c r="M5" s="50"/>
      <c r="N5" s="42"/>
      <c r="O5" s="42"/>
      <c r="P5" s="42"/>
      <c r="Q5" s="42"/>
      <c r="R5" s="42"/>
      <c r="S5" s="42"/>
      <c r="T5" s="42"/>
    </row>
    <row r="6" spans="2:20" x14ac:dyDescent="0.2">
      <c r="M6" s="51"/>
      <c r="N6" s="38"/>
      <c r="O6" s="38"/>
      <c r="P6" s="37"/>
      <c r="Q6" s="37"/>
      <c r="R6" s="37"/>
      <c r="S6" s="37"/>
      <c r="T6" s="37"/>
    </row>
    <row r="7" spans="2:20" x14ac:dyDescent="0.2">
      <c r="D7" s="8"/>
      <c r="E7" s="8"/>
      <c r="F7" s="8"/>
      <c r="G7" s="8"/>
      <c r="I7" s="45"/>
      <c r="J7" s="45"/>
      <c r="P7" s="88">
        <v>1</v>
      </c>
      <c r="Q7" s="88">
        <v>8</v>
      </c>
    </row>
    <row r="8" spans="2:20" ht="22.15" customHeight="1" x14ac:dyDescent="0.2">
      <c r="L8" s="120">
        <v>100</v>
      </c>
      <c r="M8" s="120">
        <v>100</v>
      </c>
      <c r="N8" s="120">
        <v>100</v>
      </c>
    </row>
    <row r="9" spans="2:20" ht="22.15" customHeight="1" x14ac:dyDescent="0.2">
      <c r="L9" s="120"/>
      <c r="M9" s="120"/>
      <c r="N9" s="120"/>
    </row>
    <row r="10" spans="2:20" ht="25.5" x14ac:dyDescent="0.2">
      <c r="L10" s="114"/>
      <c r="M10" s="114" t="s">
        <v>405</v>
      </c>
      <c r="N10" s="115" t="s">
        <v>406</v>
      </c>
      <c r="O10" s="116">
        <f>BS!O6</f>
        <v>2020</v>
      </c>
      <c r="P10" s="117">
        <f>BS!P6</f>
        <v>2021</v>
      </c>
      <c r="Q10" s="117">
        <f>BS!Q6</f>
        <v>2022</v>
      </c>
      <c r="R10" s="117">
        <f>BS!R6</f>
        <v>2023</v>
      </c>
      <c r="S10" s="117">
        <f>BS!S6</f>
        <v>2024</v>
      </c>
      <c r="T10" s="117">
        <f>BS!T6</f>
        <v>2025</v>
      </c>
    </row>
    <row r="11" spans="2:20" ht="22.9" customHeight="1" x14ac:dyDescent="0.2">
      <c r="L11" s="4" t="str" cm="1">
        <f t="array" ref="L11">INDEX(P_List,P_1)</f>
        <v>Revenue</v>
      </c>
      <c r="N11" s="119">
        <f>AVERAGE(P11:T11)</f>
        <v>1891614.068218983</v>
      </c>
      <c r="O11" s="112" cm="1">
        <f t="array" ref="O11">INDEX('1 (3)'!O$12:O$30,P_1)</f>
        <v>1346390</v>
      </c>
      <c r="P11" s="109" cm="1">
        <f t="array" ref="P11">INDEX('1 (3)'!P$12:P$30,P_1)</f>
        <v>1491332.9226699998</v>
      </c>
      <c r="Q11" s="109" cm="1">
        <f t="array" ref="Q11">INDEX('1 (3)'!Q$12:Q$30,P_1)</f>
        <v>1698584.9502663722</v>
      </c>
      <c r="R11" s="109" cm="1">
        <f t="array" ref="R11">INDEX('1 (3)'!R$12:R$30,P_1)</f>
        <v>1914729.8851877681</v>
      </c>
      <c r="S11" s="109" cm="1">
        <f t="array" ref="S11">INDEX('1 (3)'!S$12:S$30,P_1)</f>
        <v>2112799.1181610166</v>
      </c>
      <c r="T11" s="109" cm="1">
        <f t="array" ref="T11">INDEX('1 (3)'!T$12:T$30,P_1)</f>
        <v>2240623.4648097577</v>
      </c>
    </row>
    <row r="12" spans="2:20" ht="22.9" customHeight="1" x14ac:dyDescent="0.2">
      <c r="L12" s="110" t="s">
        <v>403</v>
      </c>
      <c r="N12" s="118">
        <f>AVERAGE(P12:T12)</f>
        <v>0.10756379999999988</v>
      </c>
      <c r="O12" s="58"/>
      <c r="P12" s="111">
        <f>P11/O11-1</f>
        <v>0.10765299999999978</v>
      </c>
      <c r="Q12" s="111">
        <f t="shared" ref="Q12:T12" si="0">Q11/P11-1</f>
        <v>0.13897099999999996</v>
      </c>
      <c r="R12" s="111">
        <f t="shared" si="0"/>
        <v>0.12725000000000009</v>
      </c>
      <c r="S12" s="111">
        <f t="shared" si="0"/>
        <v>0.10344499999999979</v>
      </c>
      <c r="T12" s="111">
        <f t="shared" si="0"/>
        <v>6.0499999999999776E-2</v>
      </c>
    </row>
    <row r="13" spans="2:20" ht="22.9" customHeight="1" x14ac:dyDescent="0.2">
      <c r="L13" s="4" t="str" cm="1">
        <f t="array" ref="L13">INDEX(P_List,P_2)</f>
        <v>Net profit</v>
      </c>
      <c r="N13" s="119">
        <f>AVERAGE(P13:T13)</f>
        <v>318827.76076659875</v>
      </c>
      <c r="O13" s="112" cm="1">
        <f t="array" ref="O13">INDEX('1 (3)'!O$12:O$30,P_2)</f>
        <v>205214</v>
      </c>
      <c r="P13" s="109" cm="1">
        <f t="array" ref="P13">INDEX('1 (3)'!P$12:P$30,P_2)</f>
        <v>299094.74504654726</v>
      </c>
      <c r="Q13" s="109" cm="1">
        <f t="array" ref="Q13">INDEX('1 (3)'!Q$12:Q$30,P_2)</f>
        <v>352481.67582503357</v>
      </c>
      <c r="R13" s="109" cm="1">
        <f t="array" ref="R13">INDEX('1 (3)'!R$12:R$30,P_2)</f>
        <v>249146.61558119685</v>
      </c>
      <c r="S13" s="109" cm="1">
        <f t="array" ref="S13">INDEX('1 (3)'!S$12:S$30,P_2)</f>
        <v>309732.95537051361</v>
      </c>
      <c r="T13" s="109" cm="1">
        <f t="array" ref="T13">INDEX('1 (3)'!T$12:T$30,P_2)</f>
        <v>383682.81200970255</v>
      </c>
    </row>
    <row r="14" spans="2:20" ht="22.9" customHeight="1" x14ac:dyDescent="0.2">
      <c r="L14" s="110" t="s">
        <v>404</v>
      </c>
      <c r="N14" s="118">
        <f>AVERAGE(P14:T14)</f>
        <v>0.17120578718290025</v>
      </c>
      <c r="O14" s="113">
        <f t="shared" ref="O14:T14" si="1">O13/O11</f>
        <v>0.15241794725153932</v>
      </c>
      <c r="P14" s="111">
        <f t="shared" si="1"/>
        <v>0.20055531565082371</v>
      </c>
      <c r="Q14" s="111">
        <f t="shared" si="1"/>
        <v>0.20751489395320344</v>
      </c>
      <c r="R14" s="111">
        <f t="shared" si="1"/>
        <v>0.13012102516839563</v>
      </c>
      <c r="S14" s="111">
        <f t="shared" si="1"/>
        <v>0.14659839296038027</v>
      </c>
      <c r="T14" s="111">
        <f t="shared" si="1"/>
        <v>0.17123930818169822</v>
      </c>
    </row>
    <row r="15" spans="2:20" x14ac:dyDescent="0.2"/>
    <row r="16" spans="2:20" x14ac:dyDescent="0.2"/>
  </sheetData>
  <pageMargins left="0.7" right="0.7" top="0.75" bottom="0.75" header="0.3" footer="0.3"/>
  <pageSetup paperSize="9" scale="75" fitToHeight="0" orientation="landscape" r:id="rId1"/>
  <headerFooter>
    <oddFooter>&amp;LPrinted on: &amp;D at &amp;T&amp;C&amp;A&amp;R&amp;P of &amp;N</oddFooter>
  </headerFooter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5" name="Drop Down 1">
              <controlPr defaultSize="0" autoLine="0" autoPict="0">
                <anchor moveWithCells="1">
                  <from>
                    <xdr:col>17</xdr:col>
                    <xdr:colOff>552450</xdr:colOff>
                    <xdr:row>5</xdr:row>
                    <xdr:rowOff>133350</xdr:rowOff>
                  </from>
                  <to>
                    <xdr:col>19</xdr:col>
                    <xdr:colOff>514350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6" name="Drop Down 2">
              <controlPr defaultSize="0" autoLine="0" autoPict="0">
                <anchor moveWithCells="1">
                  <from>
                    <xdr:col>13</xdr:col>
                    <xdr:colOff>752475</xdr:colOff>
                    <xdr:row>5</xdr:row>
                    <xdr:rowOff>133350</xdr:rowOff>
                  </from>
                  <to>
                    <xdr:col>15</xdr:col>
                    <xdr:colOff>523875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7" name="Drop Down 3">
              <controlPr defaultSize="0" autoLine="0" autoPict="0">
                <anchor moveWithCells="1">
                  <from>
                    <xdr:col>15</xdr:col>
                    <xdr:colOff>561975</xdr:colOff>
                    <xdr:row>5</xdr:row>
                    <xdr:rowOff>133350</xdr:rowOff>
                  </from>
                  <to>
                    <xdr:col>17</xdr:col>
                    <xdr:colOff>523875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8" name="Scroll Bar 4">
              <controlPr defaultSize="0" autoPict="0">
                <anchor moveWithCells="1">
                  <from>
                    <xdr:col>11</xdr:col>
                    <xdr:colOff>104775</xdr:colOff>
                    <xdr:row>5</xdr:row>
                    <xdr:rowOff>38100</xdr:rowOff>
                  </from>
                  <to>
                    <xdr:col>11</xdr:col>
                    <xdr:colOff>419100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9" name="Scroll Bar 5">
              <controlPr defaultSize="0" autoPict="0">
                <anchor moveWithCells="1">
                  <from>
                    <xdr:col>11</xdr:col>
                    <xdr:colOff>914400</xdr:colOff>
                    <xdr:row>4</xdr:row>
                    <xdr:rowOff>171450</xdr:rowOff>
                  </from>
                  <to>
                    <xdr:col>12</xdr:col>
                    <xdr:colOff>295275</xdr:colOff>
                    <xdr:row>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10" name="Scroll Bar 6">
              <controlPr defaultSize="0" autoPict="0">
                <anchor moveWithCells="1">
                  <from>
                    <xdr:col>13</xdr:col>
                    <xdr:colOff>57150</xdr:colOff>
                    <xdr:row>4</xdr:row>
                    <xdr:rowOff>152400</xdr:rowOff>
                  </from>
                  <to>
                    <xdr:col>13</xdr:col>
                    <xdr:colOff>371475</xdr:colOff>
                    <xdr:row>7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854A73B5-3AA5-42CB-AEC7-D412AB81DD3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Summary!P11:T11</xm:f>
              <xm:sqref>M11</xm:sqref>
            </x14:sparkline>
            <x14:sparkline>
              <xm:f>Summary!P12:T12</xm:f>
              <xm:sqref>M12</xm:sqref>
            </x14:sparkline>
            <x14:sparkline>
              <xm:f>Summary!P13:T13</xm:f>
              <xm:sqref>M13</xm:sqref>
            </x14:sparkline>
            <x14:sparkline>
              <xm:f>Summary!P14:T14</xm:f>
              <xm:sqref>M14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8D047-8823-4DB2-BA07-BDC36CC5B9A1}">
  <sheetPr codeName="Sheet7">
    <tabColor theme="4" tint="0.59999389629810485"/>
    <outlinePr summaryBelow="0" summaryRight="0"/>
    <pageSetUpPr fitToPage="1"/>
  </sheetPr>
  <dimension ref="B1:T100"/>
  <sheetViews>
    <sheetView showGridLines="0" workbookViewId="0">
      <pane ySplit="7" topLeftCell="A8" activePane="bottomLeft" state="frozen"/>
      <selection pane="bottomLeft" activeCell="A8" sqref="A8"/>
    </sheetView>
  </sheetViews>
  <sheetFormatPr defaultColWidth="8.75" defaultRowHeight="14.25" outlineLevelRow="2" x14ac:dyDescent="0.2"/>
  <cols>
    <col min="1" max="3" width="3.625" style="4" customWidth="1"/>
    <col min="4" max="4" width="43" style="4" bestFit="1" customWidth="1"/>
    <col min="5" max="5" width="5.5" style="4" customWidth="1"/>
    <col min="6" max="6" width="5.125" style="4" bestFit="1" customWidth="1"/>
    <col min="7" max="7" width="6.625" style="4" bestFit="1" customWidth="1"/>
    <col min="8" max="8" width="1.875" style="4" customWidth="1"/>
    <col min="9" max="9" width="9.25" style="4" customWidth="1"/>
    <col min="10" max="10" width="11.375" style="4" bestFit="1" customWidth="1"/>
    <col min="11" max="12" width="2.75" style="4" customWidth="1"/>
    <col min="13" max="13" width="8.875" style="4" bestFit="1" customWidth="1"/>
    <col min="14" max="16384" width="8.75" style="4"/>
  </cols>
  <sheetData>
    <row r="1" spans="2:20" ht="5.45" customHeight="1" x14ac:dyDescent="0.2"/>
    <row r="2" spans="2:20" ht="20.25" x14ac:dyDescent="0.3">
      <c r="B2" s="20" t="str">
        <f>Menu!$F$7</f>
        <v>MTN Nigeria Communications Plc.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spans="2:20" ht="18" x14ac:dyDescent="0.25">
      <c r="C3" s="40" t="s">
        <v>58</v>
      </c>
    </row>
    <row r="4" spans="2:20" ht="15" x14ac:dyDescent="0.25">
      <c r="D4" s="46" t="str">
        <f>Scenario</f>
        <v>Live Scenario: Base case</v>
      </c>
    </row>
    <row r="5" spans="2:20" ht="15.75" x14ac:dyDescent="0.25">
      <c r="D5" s="107" t="str">
        <f>Balanced</f>
        <v>Model Balance Check: OK</v>
      </c>
      <c r="M5" s="50" t="s">
        <v>90</v>
      </c>
      <c r="N5" s="42" t="s">
        <v>90</v>
      </c>
      <c r="O5" s="42" t="s">
        <v>90</v>
      </c>
      <c r="P5" s="42" t="s">
        <v>91</v>
      </c>
      <c r="Q5" s="42" t="s">
        <v>91</v>
      </c>
      <c r="R5" s="42" t="s">
        <v>91</v>
      </c>
      <c r="S5" s="42" t="s">
        <v>91</v>
      </c>
      <c r="T5" s="42" t="s">
        <v>91</v>
      </c>
    </row>
    <row r="6" spans="2:20" x14ac:dyDescent="0.2">
      <c r="D6" s="4" t="s">
        <v>85</v>
      </c>
      <c r="M6" s="51">
        <f>N6-1</f>
        <v>2018</v>
      </c>
      <c r="N6" s="38">
        <f>O6-1</f>
        <v>2019</v>
      </c>
      <c r="O6" s="38">
        <f>Menu!$F$14</f>
        <v>2020</v>
      </c>
      <c r="P6" s="37">
        <f>O6+1</f>
        <v>2021</v>
      </c>
      <c r="Q6" s="37">
        <f t="shared" ref="Q6:T6" si="0">P6+1</f>
        <v>2022</v>
      </c>
      <c r="R6" s="37">
        <f t="shared" si="0"/>
        <v>2023</v>
      </c>
      <c r="S6" s="37">
        <f t="shared" si="0"/>
        <v>2024</v>
      </c>
      <c r="T6" s="37">
        <f t="shared" si="0"/>
        <v>2025</v>
      </c>
    </row>
    <row r="7" spans="2:20" ht="25.5" x14ac:dyDescent="0.2">
      <c r="D7" s="8" t="s">
        <v>81</v>
      </c>
      <c r="E7" s="8" t="s">
        <v>82</v>
      </c>
      <c r="F7" s="8" t="s">
        <v>83</v>
      </c>
      <c r="G7" s="8" t="s">
        <v>84</v>
      </c>
      <c r="I7" s="45" t="s">
        <v>118</v>
      </c>
      <c r="J7" s="45" t="s">
        <v>119</v>
      </c>
    </row>
    <row r="9" spans="2:20" ht="19.5" x14ac:dyDescent="0.3">
      <c r="B9" s="2" t="s">
        <v>58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ht="15.75" outlineLevel="1" x14ac:dyDescent="0.25">
      <c r="C10" s="3" t="s">
        <v>64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2:20" outlineLevel="2" x14ac:dyDescent="0.2">
      <c r="D11" s="4" t="s">
        <v>99</v>
      </c>
      <c r="E11" s="8" t="str">
        <f t="shared" ref="E11:E31" si="1">Currency</f>
        <v>₦`m</v>
      </c>
      <c r="N11" s="4">
        <v>1169831</v>
      </c>
      <c r="O11" s="4">
        <v>1346390</v>
      </c>
    </row>
    <row r="12" spans="2:20" outlineLevel="2" x14ac:dyDescent="0.2">
      <c r="D12" s="4" t="s">
        <v>100</v>
      </c>
      <c r="E12" s="8" t="str">
        <f t="shared" si="1"/>
        <v>₦`m</v>
      </c>
      <c r="N12" s="4">
        <v>0</v>
      </c>
      <c r="O12" s="4">
        <v>104</v>
      </c>
    </row>
    <row r="13" spans="2:20" outlineLevel="2" x14ac:dyDescent="0.2">
      <c r="D13" s="4" t="s">
        <v>101</v>
      </c>
      <c r="E13" s="8" t="str">
        <f t="shared" si="1"/>
        <v>₦`m</v>
      </c>
      <c r="N13" s="4">
        <v>-246604</v>
      </c>
      <c r="O13" s="4">
        <v>-310248</v>
      </c>
    </row>
    <row r="14" spans="2:20" outlineLevel="2" x14ac:dyDescent="0.2">
      <c r="D14" s="4" t="s">
        <v>102</v>
      </c>
      <c r="E14" s="8" t="str">
        <f t="shared" si="1"/>
        <v>₦`m</v>
      </c>
      <c r="N14" s="4">
        <v>-12459</v>
      </c>
      <c r="O14" s="4">
        <v>-12820</v>
      </c>
    </row>
    <row r="15" spans="2:20" outlineLevel="2" x14ac:dyDescent="0.2">
      <c r="D15" s="4" t="s">
        <v>120</v>
      </c>
      <c r="E15" s="8" t="str">
        <f t="shared" si="1"/>
        <v>₦`m</v>
      </c>
      <c r="N15" s="4">
        <v>-12766</v>
      </c>
      <c r="O15" s="4">
        <v>-20566</v>
      </c>
    </row>
    <row r="16" spans="2:20" outlineLevel="2" x14ac:dyDescent="0.2">
      <c r="D16" s="4" t="s">
        <v>103</v>
      </c>
      <c r="E16" s="8" t="str">
        <f t="shared" si="1"/>
        <v>₦`m</v>
      </c>
      <c r="N16" s="4">
        <v>-105250</v>
      </c>
      <c r="O16" s="4">
        <v>-112470</v>
      </c>
    </row>
    <row r="17" spans="4:15" outlineLevel="2" x14ac:dyDescent="0.2">
      <c r="D17" s="4" t="s">
        <v>104</v>
      </c>
      <c r="E17" s="8" t="str">
        <f t="shared" si="1"/>
        <v>₦`m</v>
      </c>
      <c r="N17" s="4">
        <v>-4038</v>
      </c>
      <c r="O17" s="4">
        <v>-2956</v>
      </c>
    </row>
    <row r="18" spans="4:15" outlineLevel="2" x14ac:dyDescent="0.2">
      <c r="D18" s="4" t="s">
        <v>105</v>
      </c>
      <c r="E18" s="8" t="str">
        <f t="shared" si="1"/>
        <v>₦`m</v>
      </c>
      <c r="N18" s="4">
        <v>-5553</v>
      </c>
      <c r="O18" s="4">
        <v>-6106</v>
      </c>
    </row>
    <row r="19" spans="4:15" outlineLevel="2" x14ac:dyDescent="0.2">
      <c r="D19" s="4" t="s">
        <v>106</v>
      </c>
      <c r="E19" s="8" t="str">
        <f t="shared" si="1"/>
        <v>₦`m</v>
      </c>
      <c r="N19" s="4">
        <v>-56586</v>
      </c>
      <c r="O19" s="4">
        <v>-68528</v>
      </c>
    </row>
    <row r="20" spans="4:15" outlineLevel="2" x14ac:dyDescent="0.2">
      <c r="D20" s="4" t="s">
        <v>121</v>
      </c>
      <c r="E20" s="8" t="str">
        <f t="shared" si="1"/>
        <v>₦`m</v>
      </c>
      <c r="N20" s="4">
        <v>-19848</v>
      </c>
      <c r="O20" s="4">
        <v>-15144</v>
      </c>
    </row>
    <row r="21" spans="4:15" outlineLevel="2" x14ac:dyDescent="0.2">
      <c r="D21" s="4" t="s">
        <v>107</v>
      </c>
      <c r="E21" s="8" t="str">
        <f t="shared" si="1"/>
        <v>₦`m</v>
      </c>
      <c r="N21" s="4">
        <v>-30707</v>
      </c>
      <c r="O21" s="4">
        <v>-45325</v>
      </c>
    </row>
    <row r="22" spans="4:15" outlineLevel="2" x14ac:dyDescent="0.2">
      <c r="D22" s="4" t="s">
        <v>108</v>
      </c>
      <c r="E22" s="8" t="str">
        <f t="shared" si="1"/>
        <v>₦`m</v>
      </c>
      <c r="N22" s="4">
        <v>-147807</v>
      </c>
      <c r="O22" s="4">
        <v>-150203</v>
      </c>
    </row>
    <row r="23" spans="4:15" outlineLevel="2" x14ac:dyDescent="0.2">
      <c r="D23" s="4" t="s">
        <v>109</v>
      </c>
      <c r="E23" s="8" t="str">
        <f t="shared" si="1"/>
        <v>₦`m</v>
      </c>
      <c r="N23" s="4">
        <v>-29997</v>
      </c>
      <c r="O23" s="4">
        <v>-36699</v>
      </c>
    </row>
    <row r="24" spans="4:15" outlineLevel="2" x14ac:dyDescent="0.2">
      <c r="D24" s="4" t="s">
        <v>110</v>
      </c>
      <c r="E24" s="8" t="str">
        <f t="shared" si="1"/>
        <v>₦`m</v>
      </c>
      <c r="N24" s="4">
        <v>-54002</v>
      </c>
      <c r="O24" s="4">
        <v>-72125</v>
      </c>
    </row>
    <row r="25" spans="4:15" outlineLevel="2" x14ac:dyDescent="0.2">
      <c r="D25" s="4" t="s">
        <v>111</v>
      </c>
      <c r="E25" s="8" t="str">
        <f t="shared" si="1"/>
        <v>₦`m</v>
      </c>
      <c r="N25" s="4">
        <v>-50989</v>
      </c>
      <c r="O25" s="4">
        <v>-66591</v>
      </c>
    </row>
    <row r="26" spans="4:15" ht="15" outlineLevel="2" x14ac:dyDescent="0.25">
      <c r="D26" s="46" t="s">
        <v>112</v>
      </c>
      <c r="E26" s="8" t="str">
        <f t="shared" si="1"/>
        <v>₦`m</v>
      </c>
      <c r="N26" s="46">
        <v>393225</v>
      </c>
      <c r="O26" s="46">
        <v>426713</v>
      </c>
    </row>
    <row r="27" spans="4:15" outlineLevel="2" x14ac:dyDescent="0.2">
      <c r="D27" s="4" t="s">
        <v>113</v>
      </c>
      <c r="E27" s="8" t="str">
        <f t="shared" si="1"/>
        <v>₦`m</v>
      </c>
      <c r="N27" s="4">
        <v>20132</v>
      </c>
      <c r="O27" s="4">
        <v>15848</v>
      </c>
    </row>
    <row r="28" spans="4:15" outlineLevel="2" x14ac:dyDescent="0.2">
      <c r="D28" s="4" t="s">
        <v>114</v>
      </c>
      <c r="E28" s="8" t="str">
        <f t="shared" si="1"/>
        <v>₦`m</v>
      </c>
      <c r="N28" s="4">
        <v>-122080</v>
      </c>
      <c r="O28" s="4">
        <v>-143687</v>
      </c>
    </row>
    <row r="29" spans="4:15" ht="15" outlineLevel="2" x14ac:dyDescent="0.25">
      <c r="D29" s="46" t="s">
        <v>115</v>
      </c>
      <c r="E29" s="8" t="str">
        <f t="shared" si="1"/>
        <v>₦`m</v>
      </c>
      <c r="N29" s="46">
        <v>291277</v>
      </c>
      <c r="O29" s="46">
        <v>298874</v>
      </c>
    </row>
    <row r="30" spans="4:15" outlineLevel="2" x14ac:dyDescent="0.2">
      <c r="D30" s="4" t="s">
        <v>116</v>
      </c>
      <c r="E30" s="8" t="str">
        <f t="shared" si="1"/>
        <v>₦`m</v>
      </c>
      <c r="N30" s="4">
        <v>-87994</v>
      </c>
      <c r="O30" s="4">
        <v>-93660</v>
      </c>
    </row>
    <row r="31" spans="4:15" ht="15" outlineLevel="2" x14ac:dyDescent="0.25">
      <c r="D31" s="46" t="s">
        <v>117</v>
      </c>
      <c r="E31" s="8" t="str">
        <f t="shared" si="1"/>
        <v>₦`m</v>
      </c>
      <c r="N31" s="46">
        <v>203283</v>
      </c>
      <c r="O31" s="46">
        <v>205214</v>
      </c>
    </row>
    <row r="32" spans="4:15" outlineLevel="2" x14ac:dyDescent="0.2"/>
    <row r="33" spans="3:20" ht="15.75" outlineLevel="1" x14ac:dyDescent="0.25">
      <c r="C33" s="3" t="s">
        <v>65</v>
      </c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</row>
    <row r="34" spans="3:20" ht="15" outlineLevel="2" x14ac:dyDescent="0.25">
      <c r="D34" s="46" t="s">
        <v>124</v>
      </c>
    </row>
    <row r="35" spans="3:20" ht="15" outlineLevel="2" x14ac:dyDescent="0.25">
      <c r="D35" s="46" t="s">
        <v>125</v>
      </c>
    </row>
    <row r="36" spans="3:20" outlineLevel="2" x14ac:dyDescent="0.2">
      <c r="D36" s="4" t="s">
        <v>126</v>
      </c>
      <c r="E36" s="8" t="str">
        <f t="shared" ref="E36:E43" si="2">Currency</f>
        <v>₦`m</v>
      </c>
      <c r="N36" s="4">
        <v>625095</v>
      </c>
      <c r="O36" s="4">
        <v>686157</v>
      </c>
    </row>
    <row r="37" spans="3:20" outlineLevel="2" x14ac:dyDescent="0.2">
      <c r="D37" s="4" t="s">
        <v>127</v>
      </c>
      <c r="E37" s="8" t="str">
        <f t="shared" si="2"/>
        <v>₦`m</v>
      </c>
      <c r="N37" s="4">
        <v>476357</v>
      </c>
      <c r="O37" s="4">
        <v>595745</v>
      </c>
    </row>
    <row r="38" spans="3:20" outlineLevel="2" x14ac:dyDescent="0.2">
      <c r="D38" s="4" t="s">
        <v>128</v>
      </c>
      <c r="E38" s="8" t="str">
        <f t="shared" si="2"/>
        <v>₦`m</v>
      </c>
      <c r="N38" s="4">
        <v>120946</v>
      </c>
      <c r="O38" s="4">
        <v>111080</v>
      </c>
    </row>
    <row r="39" spans="3:20" outlineLevel="2" x14ac:dyDescent="0.2">
      <c r="D39" s="4" t="s">
        <v>129</v>
      </c>
      <c r="E39" s="8" t="str">
        <f t="shared" si="2"/>
        <v>₦`m</v>
      </c>
      <c r="N39" s="4">
        <v>0</v>
      </c>
      <c r="O39" s="4">
        <v>0</v>
      </c>
    </row>
    <row r="40" spans="3:20" outlineLevel="2" x14ac:dyDescent="0.2">
      <c r="D40" s="4" t="s">
        <v>130</v>
      </c>
      <c r="E40" s="8" t="str">
        <f t="shared" si="2"/>
        <v>₦`m</v>
      </c>
      <c r="N40" s="4">
        <v>4852</v>
      </c>
      <c r="O40" s="4">
        <v>7990</v>
      </c>
    </row>
    <row r="41" spans="3:20" outlineLevel="2" x14ac:dyDescent="0.2">
      <c r="D41" s="4" t="s">
        <v>131</v>
      </c>
      <c r="E41" s="8" t="str">
        <f t="shared" si="2"/>
        <v>₦`m</v>
      </c>
      <c r="N41" s="4">
        <v>12145</v>
      </c>
      <c r="O41" s="4">
        <v>13906</v>
      </c>
    </row>
    <row r="42" spans="3:20" outlineLevel="2" x14ac:dyDescent="0.2">
      <c r="D42" s="4" t="s">
        <v>132</v>
      </c>
      <c r="E42" s="8" t="str">
        <f t="shared" si="2"/>
        <v>₦`m</v>
      </c>
      <c r="N42" s="4">
        <v>0</v>
      </c>
      <c r="O42" s="4">
        <v>25847</v>
      </c>
    </row>
    <row r="43" spans="3:20" ht="15" outlineLevel="2" x14ac:dyDescent="0.25">
      <c r="D43" s="46" t="s">
        <v>161</v>
      </c>
      <c r="E43" s="8" t="str">
        <f t="shared" si="2"/>
        <v>₦`m</v>
      </c>
      <c r="N43" s="46">
        <v>1239395</v>
      </c>
      <c r="O43" s="46">
        <v>1440725</v>
      </c>
    </row>
    <row r="44" spans="3:20" ht="15" outlineLevel="2" x14ac:dyDescent="0.25">
      <c r="D44" s="46" t="s">
        <v>133</v>
      </c>
    </row>
    <row r="45" spans="3:20" outlineLevel="2" x14ac:dyDescent="0.2">
      <c r="D45" s="4" t="s">
        <v>134</v>
      </c>
      <c r="E45" s="8" t="str">
        <f t="shared" ref="E45:E50" si="3">Currency</f>
        <v>₦`m</v>
      </c>
      <c r="N45" s="4">
        <v>909</v>
      </c>
      <c r="O45" s="4">
        <v>2158</v>
      </c>
    </row>
    <row r="46" spans="3:20" outlineLevel="2" x14ac:dyDescent="0.2">
      <c r="D46" s="4" t="s">
        <v>135</v>
      </c>
      <c r="E46" s="8" t="str">
        <f t="shared" si="3"/>
        <v>₦`m</v>
      </c>
      <c r="N46" s="4">
        <v>52824</v>
      </c>
      <c r="O46" s="4">
        <v>50766</v>
      </c>
    </row>
    <row r="47" spans="3:20" outlineLevel="2" x14ac:dyDescent="0.2">
      <c r="D47" s="4" t="s">
        <v>136</v>
      </c>
      <c r="E47" s="8" t="str">
        <f t="shared" si="3"/>
        <v>₦`m</v>
      </c>
      <c r="N47" s="4">
        <v>54827</v>
      </c>
      <c r="O47" s="4">
        <v>146783</v>
      </c>
    </row>
    <row r="48" spans="3:20" outlineLevel="2" x14ac:dyDescent="0.2">
      <c r="D48" s="4" t="s">
        <v>137</v>
      </c>
      <c r="E48" s="8" t="str">
        <f t="shared" si="3"/>
        <v>₦`m</v>
      </c>
      <c r="N48" s="4">
        <v>38050</v>
      </c>
      <c r="O48" s="4">
        <v>47913</v>
      </c>
    </row>
    <row r="49" spans="4:15" outlineLevel="2" x14ac:dyDescent="0.2">
      <c r="D49" s="4" t="s">
        <v>138</v>
      </c>
      <c r="E49" s="8" t="str">
        <f t="shared" si="3"/>
        <v>₦`m</v>
      </c>
      <c r="N49" s="4">
        <v>116278</v>
      </c>
      <c r="O49" s="4">
        <v>275198</v>
      </c>
    </row>
    <row r="50" spans="4:15" ht="15" outlineLevel="2" x14ac:dyDescent="0.25">
      <c r="D50" s="46" t="s">
        <v>162</v>
      </c>
      <c r="E50" s="8" t="str">
        <f t="shared" si="3"/>
        <v>₦`m</v>
      </c>
      <c r="N50" s="46">
        <v>262888</v>
      </c>
      <c r="O50" s="46">
        <v>522818</v>
      </c>
    </row>
    <row r="51" spans="4:15" ht="15" outlineLevel="2" x14ac:dyDescent="0.25">
      <c r="D51" s="46" t="s">
        <v>139</v>
      </c>
      <c r="N51" s="46">
        <v>1502283</v>
      </c>
      <c r="O51" s="46">
        <v>1963543</v>
      </c>
    </row>
    <row r="52" spans="4:15" ht="15" outlineLevel="2" x14ac:dyDescent="0.25">
      <c r="D52" s="46" t="s">
        <v>140</v>
      </c>
    </row>
    <row r="53" spans="4:15" ht="15" outlineLevel="2" x14ac:dyDescent="0.25">
      <c r="D53" s="46" t="s">
        <v>141</v>
      </c>
    </row>
    <row r="54" spans="4:15" outlineLevel="2" x14ac:dyDescent="0.2">
      <c r="D54" s="4" t="s">
        <v>142</v>
      </c>
      <c r="E54" s="8" t="str">
        <f>Currency</f>
        <v>₦`m</v>
      </c>
      <c r="N54" s="4">
        <v>407</v>
      </c>
      <c r="O54" s="4">
        <v>407</v>
      </c>
    </row>
    <row r="55" spans="4:15" outlineLevel="2" x14ac:dyDescent="0.2">
      <c r="D55" s="4" t="s">
        <v>143</v>
      </c>
      <c r="E55" s="8" t="str">
        <f>Currency</f>
        <v>₦`m</v>
      </c>
      <c r="N55" s="4">
        <v>17216</v>
      </c>
      <c r="O55" s="4">
        <v>17216</v>
      </c>
    </row>
    <row r="56" spans="4:15" outlineLevel="2" x14ac:dyDescent="0.2">
      <c r="D56" s="4" t="s">
        <v>144</v>
      </c>
      <c r="E56" s="8" t="str">
        <f>Currency</f>
        <v>₦`m</v>
      </c>
      <c r="N56" s="4">
        <v>521</v>
      </c>
      <c r="O56" s="4">
        <v>239</v>
      </c>
    </row>
    <row r="57" spans="4:15" outlineLevel="2" x14ac:dyDescent="0.2">
      <c r="D57" s="4" t="s">
        <v>145</v>
      </c>
      <c r="E57" s="8" t="str">
        <f>Currency</f>
        <v>₦`m</v>
      </c>
      <c r="N57" s="4">
        <v>127713</v>
      </c>
      <c r="O57" s="4">
        <v>160524</v>
      </c>
    </row>
    <row r="58" spans="4:15" ht="15" outlineLevel="2" x14ac:dyDescent="0.25">
      <c r="D58" s="46" t="s">
        <v>163</v>
      </c>
      <c r="E58" s="8" t="str">
        <f>Currency</f>
        <v>₦`m</v>
      </c>
      <c r="N58" s="4">
        <v>145857</v>
      </c>
      <c r="O58" s="4">
        <v>178386</v>
      </c>
    </row>
    <row r="59" spans="4:15" ht="15" outlineLevel="2" x14ac:dyDescent="0.25">
      <c r="D59" s="46" t="s">
        <v>146</v>
      </c>
    </row>
    <row r="60" spans="4:15" ht="15" outlineLevel="2" x14ac:dyDescent="0.25">
      <c r="D60" s="46" t="s">
        <v>147</v>
      </c>
    </row>
    <row r="61" spans="4:15" outlineLevel="2" x14ac:dyDescent="0.2">
      <c r="D61" s="4" t="s">
        <v>148</v>
      </c>
      <c r="E61" s="8" t="str">
        <f t="shared" ref="E61:E68" si="4">Currency</f>
        <v>₦`m</v>
      </c>
      <c r="N61" s="4">
        <v>380089</v>
      </c>
      <c r="O61" s="4">
        <v>330551</v>
      </c>
    </row>
    <row r="62" spans="4:15" outlineLevel="2" x14ac:dyDescent="0.2">
      <c r="D62" s="4" t="s">
        <v>149</v>
      </c>
      <c r="E62" s="8" t="str">
        <f t="shared" si="4"/>
        <v>₦`m</v>
      </c>
      <c r="N62" s="4">
        <v>265</v>
      </c>
      <c r="O62" s="4">
        <v>0</v>
      </c>
    </row>
    <row r="63" spans="4:15" outlineLevel="2" x14ac:dyDescent="0.2">
      <c r="D63" s="4" t="s">
        <v>150</v>
      </c>
      <c r="E63" s="8" t="str">
        <f t="shared" si="4"/>
        <v>₦`m</v>
      </c>
      <c r="N63" s="4">
        <v>458509</v>
      </c>
      <c r="O63" s="4">
        <v>586992</v>
      </c>
    </row>
    <row r="64" spans="4:15" outlineLevel="2" x14ac:dyDescent="0.2">
      <c r="D64" s="4" t="s">
        <v>151</v>
      </c>
      <c r="E64" s="8" t="str">
        <f t="shared" si="4"/>
        <v>₦`m</v>
      </c>
      <c r="N64" s="4">
        <v>120587</v>
      </c>
      <c r="O64" s="4">
        <v>113130</v>
      </c>
    </row>
    <row r="65" spans="4:15" outlineLevel="2" x14ac:dyDescent="0.2">
      <c r="D65" s="4" t="s">
        <v>152</v>
      </c>
      <c r="E65" s="8" t="str">
        <f t="shared" si="4"/>
        <v>₦`m</v>
      </c>
      <c r="N65" s="4">
        <v>71</v>
      </c>
      <c r="O65" s="4">
        <v>38</v>
      </c>
    </row>
    <row r="66" spans="4:15" outlineLevel="2" x14ac:dyDescent="0.2">
      <c r="D66" s="4" t="s">
        <v>153</v>
      </c>
      <c r="E66" s="8" t="str">
        <f t="shared" si="4"/>
        <v>₦`m</v>
      </c>
      <c r="N66" s="4">
        <v>745</v>
      </c>
      <c r="O66" s="4">
        <v>2273</v>
      </c>
    </row>
    <row r="67" spans="4:15" outlineLevel="2" x14ac:dyDescent="0.2">
      <c r="D67" s="4" t="s">
        <v>154</v>
      </c>
      <c r="E67" s="8" t="str">
        <f t="shared" si="4"/>
        <v>₦`m</v>
      </c>
      <c r="N67" s="4">
        <v>1578</v>
      </c>
      <c r="O67" s="4">
        <v>8261</v>
      </c>
    </row>
    <row r="68" spans="4:15" ht="15" outlineLevel="2" x14ac:dyDescent="0.25">
      <c r="D68" s="46" t="s">
        <v>164</v>
      </c>
      <c r="E68" s="8" t="str">
        <f t="shared" si="4"/>
        <v>₦`m</v>
      </c>
      <c r="N68" s="46">
        <v>961844</v>
      </c>
      <c r="O68" s="46">
        <v>1041245</v>
      </c>
    </row>
    <row r="69" spans="4:15" ht="15" outlineLevel="2" x14ac:dyDescent="0.25">
      <c r="D69" s="46" t="s">
        <v>155</v>
      </c>
    </row>
    <row r="70" spans="4:15" outlineLevel="2" x14ac:dyDescent="0.2">
      <c r="D70" s="4" t="s">
        <v>156</v>
      </c>
      <c r="E70" s="8" t="str">
        <f t="shared" ref="E70:E79" si="5">Currency</f>
        <v>₦`m</v>
      </c>
      <c r="N70" s="4">
        <v>190444</v>
      </c>
      <c r="O70" s="4">
        <v>303977</v>
      </c>
    </row>
    <row r="71" spans="4:15" outlineLevel="2" x14ac:dyDescent="0.2">
      <c r="D71" s="4" t="s">
        <v>148</v>
      </c>
      <c r="E71" s="8" t="str">
        <f t="shared" si="5"/>
        <v>₦`m</v>
      </c>
      <c r="N71" s="4">
        <v>32453</v>
      </c>
      <c r="O71" s="4">
        <v>190599</v>
      </c>
    </row>
    <row r="72" spans="4:15" outlineLevel="2" x14ac:dyDescent="0.2">
      <c r="D72" s="4" t="s">
        <v>149</v>
      </c>
      <c r="E72" s="8" t="str">
        <f t="shared" si="5"/>
        <v>₦`m</v>
      </c>
      <c r="N72" s="4">
        <v>0</v>
      </c>
      <c r="O72" s="4">
        <v>194</v>
      </c>
    </row>
    <row r="73" spans="4:15" outlineLevel="2" x14ac:dyDescent="0.2">
      <c r="D73" s="4" t="s">
        <v>150</v>
      </c>
      <c r="E73" s="8" t="str">
        <f t="shared" si="5"/>
        <v>₦`m</v>
      </c>
      <c r="N73" s="4">
        <v>33564</v>
      </c>
      <c r="O73" s="4">
        <v>54798</v>
      </c>
    </row>
    <row r="74" spans="4:15" outlineLevel="2" x14ac:dyDescent="0.2">
      <c r="D74" s="4" t="s">
        <v>157</v>
      </c>
      <c r="E74" s="8" t="str">
        <f t="shared" si="5"/>
        <v>₦`m</v>
      </c>
      <c r="N74" s="4">
        <v>46806</v>
      </c>
      <c r="O74" s="4">
        <v>62301</v>
      </c>
    </row>
    <row r="75" spans="4:15" outlineLevel="2" x14ac:dyDescent="0.2">
      <c r="D75" s="4" t="s">
        <v>158</v>
      </c>
      <c r="E75" s="8" t="str">
        <f t="shared" si="5"/>
        <v>₦`m</v>
      </c>
      <c r="N75" s="4">
        <v>65625</v>
      </c>
      <c r="O75" s="4">
        <v>107310</v>
      </c>
    </row>
    <row r="76" spans="4:15" outlineLevel="2" x14ac:dyDescent="0.2">
      <c r="D76" s="4" t="s">
        <v>152</v>
      </c>
      <c r="E76" s="8" t="str">
        <f t="shared" si="5"/>
        <v>₦`m</v>
      </c>
      <c r="N76" s="4">
        <v>25690</v>
      </c>
      <c r="O76" s="4">
        <v>24733</v>
      </c>
    </row>
    <row r="77" spans="4:15" ht="15" outlineLevel="2" x14ac:dyDescent="0.25">
      <c r="D77" s="46" t="s">
        <v>165</v>
      </c>
      <c r="E77" s="8" t="str">
        <f t="shared" si="5"/>
        <v>₦`m</v>
      </c>
      <c r="N77" s="46">
        <v>394582</v>
      </c>
      <c r="O77" s="46">
        <v>743912</v>
      </c>
    </row>
    <row r="78" spans="4:15" ht="15" outlineLevel="2" x14ac:dyDescent="0.25">
      <c r="D78" s="46" t="s">
        <v>159</v>
      </c>
      <c r="E78" s="8" t="str">
        <f t="shared" si="5"/>
        <v>₦`m</v>
      </c>
      <c r="N78" s="46">
        <v>1356426</v>
      </c>
      <c r="O78" s="46">
        <v>1785157</v>
      </c>
    </row>
    <row r="79" spans="4:15" ht="15" outlineLevel="2" x14ac:dyDescent="0.25">
      <c r="D79" s="46" t="s">
        <v>160</v>
      </c>
      <c r="E79" s="8" t="str">
        <f t="shared" si="5"/>
        <v>₦`m</v>
      </c>
      <c r="N79" s="46">
        <v>1502283</v>
      </c>
      <c r="O79" s="46">
        <v>1963543</v>
      </c>
    </row>
    <row r="80" spans="4:15" outlineLevel="2" x14ac:dyDescent="0.2"/>
    <row r="81" spans="3:20" outlineLevel="2" x14ac:dyDescent="0.2"/>
    <row r="82" spans="3:20" ht="15.75" outlineLevel="1" x14ac:dyDescent="0.25">
      <c r="C82" s="3" t="s">
        <v>166</v>
      </c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</row>
    <row r="83" spans="3:20" ht="15" outlineLevel="2" x14ac:dyDescent="0.25">
      <c r="D83" s="46" t="s">
        <v>167</v>
      </c>
    </row>
    <row r="84" spans="3:20" outlineLevel="2" x14ac:dyDescent="0.2">
      <c r="D84" s="4" t="s">
        <v>168</v>
      </c>
      <c r="E84" s="8" t="str">
        <f t="shared" ref="E84:E92" si="6">Currency</f>
        <v>₦`m</v>
      </c>
      <c r="M84" s="4">
        <v>681911.41200000001</v>
      </c>
      <c r="N84" s="4">
        <v>725449</v>
      </c>
      <c r="O84" s="4">
        <v>766389</v>
      </c>
    </row>
    <row r="85" spans="3:20" outlineLevel="2" x14ac:dyDescent="0.2">
      <c r="D85" s="4" t="s">
        <v>169</v>
      </c>
      <c r="E85" s="8" t="str">
        <f t="shared" si="6"/>
        <v>₦`m</v>
      </c>
      <c r="M85" s="4">
        <v>154134.27499999999</v>
      </c>
      <c r="N85" s="4">
        <v>219398</v>
      </c>
      <c r="O85" s="4">
        <v>332371</v>
      </c>
    </row>
    <row r="86" spans="3:20" outlineLevel="2" x14ac:dyDescent="0.2">
      <c r="D86" s="4" t="s">
        <v>170</v>
      </c>
      <c r="E86" s="8" t="str">
        <f t="shared" si="6"/>
        <v>₦`m</v>
      </c>
      <c r="M86" s="4">
        <v>14306.527</v>
      </c>
      <c r="N86" s="4">
        <v>13505</v>
      </c>
      <c r="O86" s="4">
        <v>12330</v>
      </c>
    </row>
    <row r="87" spans="3:20" outlineLevel="2" x14ac:dyDescent="0.2">
      <c r="D87" s="4" t="s">
        <v>171</v>
      </c>
      <c r="E87" s="8" t="str">
        <f t="shared" si="6"/>
        <v>₦`m</v>
      </c>
      <c r="M87" s="4">
        <v>102568.90700000001</v>
      </c>
      <c r="N87" s="4">
        <v>125042</v>
      </c>
      <c r="O87" s="4">
        <v>133078</v>
      </c>
    </row>
    <row r="88" spans="3:20" outlineLevel="2" x14ac:dyDescent="0.2">
      <c r="D88" s="4" t="s">
        <v>172</v>
      </c>
      <c r="E88" s="8" t="str">
        <f t="shared" si="6"/>
        <v>₦`m</v>
      </c>
      <c r="M88" s="4">
        <v>2200.7570000000001</v>
      </c>
      <c r="N88" s="4">
        <v>2208</v>
      </c>
      <c r="O88" s="4">
        <v>7358</v>
      </c>
    </row>
    <row r="89" spans="3:20" outlineLevel="2" x14ac:dyDescent="0.2">
      <c r="D89" s="4" t="s">
        <v>173</v>
      </c>
      <c r="E89" s="8" t="str">
        <f t="shared" si="6"/>
        <v>₦`m</v>
      </c>
      <c r="M89" s="4">
        <v>40706.065999999999</v>
      </c>
      <c r="N89" s="4">
        <v>35939</v>
      </c>
      <c r="O89" s="4">
        <v>37038</v>
      </c>
    </row>
    <row r="90" spans="3:20" outlineLevel="2" x14ac:dyDescent="0.2">
      <c r="D90" s="4" t="s">
        <v>102</v>
      </c>
      <c r="E90" s="8" t="str">
        <f t="shared" si="6"/>
        <v>₦`m</v>
      </c>
      <c r="M90" s="4">
        <v>32275.868999999999</v>
      </c>
      <c r="N90" s="4">
        <v>37167</v>
      </c>
      <c r="O90" s="4">
        <v>46444</v>
      </c>
    </row>
    <row r="91" spans="3:20" outlineLevel="2" x14ac:dyDescent="0.2">
      <c r="D91" s="4" t="s">
        <v>174</v>
      </c>
      <c r="E91" s="8" t="str">
        <f t="shared" si="6"/>
        <v>₦`m</v>
      </c>
      <c r="M91" s="4">
        <v>11013.996999999999</v>
      </c>
      <c r="N91" s="4">
        <v>11026</v>
      </c>
      <c r="O91" s="4">
        <v>11287</v>
      </c>
    </row>
    <row r="92" spans="3:20" outlineLevel="2" x14ac:dyDescent="0.2">
      <c r="E92" s="8" t="str">
        <f t="shared" si="6"/>
        <v>₦`m</v>
      </c>
      <c r="M92" s="4">
        <v>1039117.81</v>
      </c>
      <c r="N92" s="4">
        <v>1169734</v>
      </c>
      <c r="O92" s="4">
        <v>1346295</v>
      </c>
    </row>
    <row r="93" spans="3:20" outlineLevel="2" x14ac:dyDescent="0.2">
      <c r="D93" s="4" t="s">
        <v>176</v>
      </c>
    </row>
    <row r="94" spans="3:20" outlineLevel="2" x14ac:dyDescent="0.2">
      <c r="D94" s="4" t="s">
        <v>175</v>
      </c>
      <c r="E94" s="8" t="str">
        <f>Currency</f>
        <v>₦`m</v>
      </c>
      <c r="N94" s="4">
        <v>97</v>
      </c>
      <c r="O94" s="4">
        <v>95</v>
      </c>
    </row>
    <row r="95" spans="3:20" outlineLevel="2" x14ac:dyDescent="0.2">
      <c r="D95" s="4" t="s">
        <v>177</v>
      </c>
      <c r="E95" s="8" t="str">
        <f>Currency</f>
        <v>₦`m</v>
      </c>
      <c r="M95" s="4">
        <v>1039117.81</v>
      </c>
      <c r="N95" s="4">
        <v>1169831</v>
      </c>
      <c r="O95" s="4">
        <v>1346390</v>
      </c>
    </row>
    <row r="96" spans="3:20" outlineLevel="2" x14ac:dyDescent="0.2"/>
    <row r="97" spans="4:15" outlineLevel="2" x14ac:dyDescent="0.2">
      <c r="D97" s="4" t="s">
        <v>197</v>
      </c>
      <c r="E97" s="8" t="s">
        <v>198</v>
      </c>
      <c r="M97" s="44">
        <v>58.2</v>
      </c>
      <c r="N97" s="44">
        <v>64.3</v>
      </c>
      <c r="O97" s="44">
        <v>76.5</v>
      </c>
    </row>
    <row r="98" spans="4:15" outlineLevel="2" x14ac:dyDescent="0.2">
      <c r="D98" s="4" t="s">
        <v>199</v>
      </c>
      <c r="E98" s="8" t="s">
        <v>200</v>
      </c>
      <c r="M98" s="4">
        <f>M95/M97/Menu!$F$17</f>
        <v>1487.8548253150057</v>
      </c>
      <c r="N98" s="4">
        <f>N95/N97/Menu!$F$17</f>
        <v>1516.1106791083464</v>
      </c>
      <c r="O98" s="4">
        <f>O95/O97/Menu!$F$17</f>
        <v>1466.6557734204791</v>
      </c>
    </row>
    <row r="99" spans="4:15" outlineLevel="2" x14ac:dyDescent="0.2"/>
    <row r="100" spans="4:15" outlineLevel="1" x14ac:dyDescent="0.2"/>
  </sheetData>
  <pageMargins left="0.7" right="0.7" top="0.75" bottom="0.75" header="0.3" footer="0.3"/>
  <pageSetup paperSize="9" scale="71" fitToHeight="0" orientation="landscape" r:id="rId1"/>
  <headerFooter>
    <oddFooter>&amp;LPrinted on: &amp;D at &amp;T&amp;C&amp;A&amp;R&amp;P of &amp;N</oddFooter>
  </headerFooter>
  <drawing r:id="rId2"/>
  <picture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CF5AA-3140-4E6D-93C5-8C0D20D76CA1}">
  <sheetPr codeName="Sheet8">
    <tabColor theme="2" tint="-0.499984740745262"/>
    <outlinePr summaryBelow="0" summaryRight="0"/>
    <pageSetUpPr fitToPage="1"/>
  </sheetPr>
  <dimension ref="B1:T145"/>
  <sheetViews>
    <sheetView showGridLines="0" workbookViewId="0">
      <pane ySplit="7" topLeftCell="A8" activePane="bottomLeft" state="frozen"/>
      <selection activeCell="D6" sqref="D6"/>
      <selection pane="bottomLeft" activeCell="A8" sqref="A8"/>
    </sheetView>
  </sheetViews>
  <sheetFormatPr defaultColWidth="8.75" defaultRowHeight="14.25" outlineLevelRow="2" x14ac:dyDescent="0.2"/>
  <cols>
    <col min="1" max="3" width="3.625" style="4" customWidth="1"/>
    <col min="4" max="4" width="28.5" style="4" bestFit="1" customWidth="1"/>
    <col min="5" max="5" width="8.75" style="4" bestFit="1" customWidth="1"/>
    <col min="6" max="6" width="11" style="4" bestFit="1" customWidth="1"/>
    <col min="7" max="7" width="13.125" style="4" bestFit="1" customWidth="1"/>
    <col min="8" max="8" width="11.25" style="4" bestFit="1" customWidth="1"/>
    <col min="9" max="9" width="9.75" style="4" bestFit="1" customWidth="1"/>
    <col min="10" max="10" width="14" style="4" bestFit="1" customWidth="1"/>
    <col min="11" max="11" width="7.375" style="4" bestFit="1" customWidth="1"/>
    <col min="12" max="12" width="2.75" style="4" customWidth="1"/>
    <col min="13" max="13" width="6.25" style="4" bestFit="1" customWidth="1"/>
    <col min="14" max="16384" width="8.75" style="4"/>
  </cols>
  <sheetData>
    <row r="1" spans="2:20" ht="5.45" customHeight="1" x14ac:dyDescent="0.2"/>
    <row r="2" spans="2:20" ht="20.25" x14ac:dyDescent="0.3">
      <c r="B2" s="20" t="str">
        <f>Menu!$F$7</f>
        <v>MTN Nigeria Communications Plc.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spans="2:20" ht="18" x14ac:dyDescent="0.25">
      <c r="C3" s="40" t="s">
        <v>178</v>
      </c>
    </row>
    <row r="4" spans="2:20" ht="15" x14ac:dyDescent="0.25">
      <c r="D4" s="96" t="str">
        <f>Scenario</f>
        <v>Live Scenario: Base case</v>
      </c>
    </row>
    <row r="5" spans="2:20" ht="15.75" x14ac:dyDescent="0.25">
      <c r="D5" s="107" t="str">
        <f>Balanced</f>
        <v>Model Balance Check: OK</v>
      </c>
      <c r="M5" s="50" t="s">
        <v>90</v>
      </c>
      <c r="N5" s="42" t="s">
        <v>90</v>
      </c>
      <c r="O5" s="42" t="s">
        <v>90</v>
      </c>
      <c r="P5" s="42" t="s">
        <v>91</v>
      </c>
      <c r="Q5" s="42" t="s">
        <v>91</v>
      </c>
      <c r="R5" s="42" t="s">
        <v>91</v>
      </c>
      <c r="S5" s="42" t="s">
        <v>91</v>
      </c>
      <c r="T5" s="42" t="s">
        <v>91</v>
      </c>
    </row>
    <row r="6" spans="2:20" x14ac:dyDescent="0.2">
      <c r="D6" s="4" t="s">
        <v>85</v>
      </c>
      <c r="M6" s="51">
        <f>N6-1</f>
        <v>2018</v>
      </c>
      <c r="N6" s="38">
        <f>O6-1</f>
        <v>2019</v>
      </c>
      <c r="O6" s="38">
        <f>Menu!$F$14</f>
        <v>2020</v>
      </c>
      <c r="P6" s="37">
        <f>O6+1</f>
        <v>2021</v>
      </c>
      <c r="Q6" s="37">
        <f t="shared" ref="Q6:T6" si="0">P6+1</f>
        <v>2022</v>
      </c>
      <c r="R6" s="37">
        <f t="shared" si="0"/>
        <v>2023</v>
      </c>
      <c r="S6" s="37">
        <f t="shared" si="0"/>
        <v>2024</v>
      </c>
      <c r="T6" s="37">
        <f t="shared" si="0"/>
        <v>2025</v>
      </c>
    </row>
    <row r="7" spans="2:20" ht="25.5" x14ac:dyDescent="0.2">
      <c r="D7" s="8" t="s">
        <v>81</v>
      </c>
      <c r="E7" s="8" t="s">
        <v>82</v>
      </c>
      <c r="F7" s="8" t="s">
        <v>83</v>
      </c>
      <c r="G7" s="8" t="s">
        <v>84</v>
      </c>
      <c r="I7" s="45" t="s">
        <v>118</v>
      </c>
      <c r="J7" s="45" t="s">
        <v>119</v>
      </c>
    </row>
    <row r="9" spans="2:20" ht="19.5" x14ac:dyDescent="0.3">
      <c r="B9" s="2" t="s">
        <v>224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ht="15.75" outlineLevel="1" x14ac:dyDescent="0.25">
      <c r="C10" s="3" t="s">
        <v>225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2:20" outlineLevel="2" x14ac:dyDescent="0.2">
      <c r="D11" s="4" t="s">
        <v>168</v>
      </c>
      <c r="E11" s="8" t="s">
        <v>213</v>
      </c>
      <c r="G11" s="8" t="s">
        <v>217</v>
      </c>
      <c r="N11" s="56">
        <f>'P&amp;L'!N34/'P&amp;L'!N$43</f>
        <v>0.62013145488536381</v>
      </c>
      <c r="O11" s="56">
        <f>'P&amp;L'!O34/'P&amp;L'!O$43</f>
        <v>0.56921768581168908</v>
      </c>
      <c r="P11" s="54">
        <v>0.62</v>
      </c>
      <c r="Q11" s="54">
        <v>0.59499999999999997</v>
      </c>
      <c r="R11" s="54">
        <v>0.60299999999999998</v>
      </c>
      <c r="S11" s="54">
        <v>0.60099999999999998</v>
      </c>
      <c r="T11" s="54">
        <v>0.60099999999999998</v>
      </c>
    </row>
    <row r="12" spans="2:20" outlineLevel="2" x14ac:dyDescent="0.2">
      <c r="D12" s="4" t="s">
        <v>169</v>
      </c>
      <c r="E12" s="8" t="s">
        <v>213</v>
      </c>
      <c r="G12" s="8" t="s">
        <v>217</v>
      </c>
      <c r="N12" s="56">
        <f>'P&amp;L'!N35/'P&amp;L'!N$43</f>
        <v>0.18754674820551004</v>
      </c>
      <c r="O12" s="56">
        <f>'P&amp;L'!O35/'P&amp;L'!O$43</f>
        <v>0.24686086497968643</v>
      </c>
      <c r="P12" s="54">
        <v>0.188</v>
      </c>
      <c r="Q12" s="54">
        <v>0.217</v>
      </c>
      <c r="R12" s="54">
        <v>0.20699999999999999</v>
      </c>
      <c r="S12" s="54">
        <v>0.21</v>
      </c>
      <c r="T12" s="54">
        <v>0.20899999999999999</v>
      </c>
    </row>
    <row r="13" spans="2:20" outlineLevel="2" x14ac:dyDescent="0.2">
      <c r="D13" s="4" t="s">
        <v>170</v>
      </c>
      <c r="E13" s="8" t="s">
        <v>213</v>
      </c>
      <c r="G13" s="8" t="s">
        <v>217</v>
      </c>
      <c r="N13" s="56">
        <f>'P&amp;L'!N36/'P&amp;L'!N$43</f>
        <v>1.1544402567550356E-2</v>
      </c>
      <c r="O13" s="56">
        <f>'P&amp;L'!O36/'P&amp;L'!O$43</f>
        <v>9.1578220277928387E-3</v>
      </c>
      <c r="P13" s="54">
        <v>1.2E-2</v>
      </c>
      <c r="Q13" s="54">
        <v>0.01</v>
      </c>
      <c r="R13" s="54">
        <v>1.0999999999999999E-2</v>
      </c>
      <c r="S13" s="54">
        <v>1.0999999999999999E-2</v>
      </c>
      <c r="T13" s="54">
        <v>1.0999999999999999E-2</v>
      </c>
    </row>
    <row r="14" spans="2:20" outlineLevel="2" x14ac:dyDescent="0.2">
      <c r="D14" s="4" t="s">
        <v>171</v>
      </c>
      <c r="E14" s="8" t="s">
        <v>213</v>
      </c>
      <c r="G14" s="8" t="s">
        <v>217</v>
      </c>
      <c r="N14" s="56">
        <f>'P&amp;L'!N37/'P&amp;L'!N$43</f>
        <v>0.10688894378760692</v>
      </c>
      <c r="O14" s="56">
        <f>'P&amp;L'!O37/'P&amp;L'!O$43</f>
        <v>9.8840603391290791E-2</v>
      </c>
      <c r="P14" s="54">
        <v>0.107</v>
      </c>
      <c r="Q14" s="54">
        <v>0.10299999999999999</v>
      </c>
      <c r="R14" s="54">
        <v>0.104</v>
      </c>
      <c r="S14" s="54">
        <v>0.104</v>
      </c>
      <c r="T14" s="54">
        <v>0.104</v>
      </c>
    </row>
    <row r="15" spans="2:20" outlineLevel="2" x14ac:dyDescent="0.2">
      <c r="D15" s="4" t="s">
        <v>172</v>
      </c>
      <c r="E15" s="8" t="s">
        <v>213</v>
      </c>
      <c r="G15" s="8" t="s">
        <v>217</v>
      </c>
      <c r="N15" s="56">
        <f>'P&amp;L'!N38/'P&amp;L'!N$43</f>
        <v>1.8874521191522536E-3</v>
      </c>
      <c r="O15" s="56">
        <f>'P&amp;L'!O38/'P&amp;L'!O$43</f>
        <v>5.4649841427818089E-3</v>
      </c>
      <c r="P15" s="54">
        <v>2E-3</v>
      </c>
      <c r="Q15" s="54">
        <v>4.0000000000000001E-3</v>
      </c>
      <c r="R15" s="54">
        <v>3.0000000000000001E-3</v>
      </c>
      <c r="S15" s="54">
        <v>3.0000000000000001E-3</v>
      </c>
      <c r="T15" s="54">
        <v>3.0000000000000001E-3</v>
      </c>
    </row>
    <row r="16" spans="2:20" outlineLevel="2" x14ac:dyDescent="0.2">
      <c r="D16" s="4" t="s">
        <v>173</v>
      </c>
      <c r="E16" s="8" t="s">
        <v>213</v>
      </c>
      <c r="G16" s="8" t="s">
        <v>217</v>
      </c>
      <c r="N16" s="56">
        <f>'P&amp;L'!N39/'P&amp;L'!N$43</f>
        <v>3.0721531571654366E-2</v>
      </c>
      <c r="O16" s="56">
        <f>'P&amp;L'!O39/'P&amp;L'!O$43</f>
        <v>2.750911697205119E-2</v>
      </c>
      <c r="P16" s="54">
        <v>3.1E-2</v>
      </c>
      <c r="Q16" s="54">
        <v>2.9000000000000001E-2</v>
      </c>
      <c r="R16" s="54">
        <v>0.03</v>
      </c>
      <c r="S16" s="54">
        <v>0.03</v>
      </c>
      <c r="T16" s="54">
        <v>0.03</v>
      </c>
    </row>
    <row r="17" spans="3:20" outlineLevel="2" x14ac:dyDescent="0.2">
      <c r="D17" s="4" t="s">
        <v>102</v>
      </c>
      <c r="E17" s="8" t="s">
        <v>213</v>
      </c>
      <c r="G17" s="8" t="s">
        <v>217</v>
      </c>
      <c r="N17" s="56">
        <f>'P&amp;L'!N40/'P&amp;L'!N$43</f>
        <v>3.1771255848066941E-2</v>
      </c>
      <c r="O17" s="56">
        <f>'P&amp;L'!O40/'P&amp;L'!O$43</f>
        <v>3.4495205698200374E-2</v>
      </c>
      <c r="P17" s="54">
        <v>3.2000000000000001E-2</v>
      </c>
      <c r="Q17" s="54">
        <v>3.3000000000000002E-2</v>
      </c>
      <c r="R17" s="54">
        <v>3.3000000000000002E-2</v>
      </c>
      <c r="S17" s="54">
        <v>3.3000000000000002E-2</v>
      </c>
      <c r="T17" s="54">
        <v>3.3000000000000002E-2</v>
      </c>
    </row>
    <row r="18" spans="3:20" outlineLevel="2" x14ac:dyDescent="0.2">
      <c r="D18" s="4" t="s">
        <v>174</v>
      </c>
      <c r="E18" s="8" t="s">
        <v>213</v>
      </c>
      <c r="G18" s="8" t="s">
        <v>217</v>
      </c>
      <c r="N18" s="56">
        <f>'P&amp;L'!N41/'P&amp;L'!N$43</f>
        <v>9.4252930551507012E-3</v>
      </c>
      <c r="O18" s="56">
        <f>'P&amp;L'!O41/'P&amp;L'!O$43</f>
        <v>8.3831579260095507E-3</v>
      </c>
      <c r="P18" s="54">
        <v>7.8999999999999071E-3</v>
      </c>
      <c r="Q18" s="54">
        <v>8.900000000000019E-3</v>
      </c>
      <c r="R18" s="54">
        <v>8.900000000000019E-3</v>
      </c>
      <c r="S18" s="54">
        <v>7.9000000000000181E-3</v>
      </c>
      <c r="T18" s="54">
        <v>8.900000000000019E-3</v>
      </c>
    </row>
    <row r="19" spans="3:20" outlineLevel="2" x14ac:dyDescent="0.2">
      <c r="D19" s="4" t="s">
        <v>175</v>
      </c>
      <c r="E19" s="8" t="s">
        <v>213</v>
      </c>
      <c r="G19" s="8" t="s">
        <v>217</v>
      </c>
      <c r="N19" s="56">
        <f>'P&amp;L'!N42/'P&amp;L'!N$43</f>
        <v>8.2917959944641577E-5</v>
      </c>
      <c r="O19" s="56">
        <f>'P&amp;L'!O42/'P&amp;L'!O$43</f>
        <v>7.0559050497998347E-5</v>
      </c>
      <c r="P19" s="55">
        <v>1E-4</v>
      </c>
      <c r="Q19" s="55">
        <v>1E-4</v>
      </c>
      <c r="R19" s="55">
        <v>1E-4</v>
      </c>
      <c r="S19" s="55">
        <v>1E-4</v>
      </c>
      <c r="T19" s="55">
        <v>1E-4</v>
      </c>
    </row>
    <row r="20" spans="3:20" outlineLevel="2" x14ac:dyDescent="0.2">
      <c r="N20" s="53">
        <f>SUM(N11:N19)</f>
        <v>1</v>
      </c>
      <c r="O20" s="53">
        <f>SUM(O11:O19)</f>
        <v>1</v>
      </c>
      <c r="P20" s="53">
        <f t="shared" ref="P20:T20" si="1">SUM(P11:P19)</f>
        <v>1</v>
      </c>
      <c r="Q20" s="53">
        <f t="shared" si="1"/>
        <v>1</v>
      </c>
      <c r="R20" s="53">
        <f t="shared" si="1"/>
        <v>1</v>
      </c>
      <c r="S20" s="53">
        <f t="shared" si="1"/>
        <v>1</v>
      </c>
      <c r="T20" s="53">
        <f t="shared" si="1"/>
        <v>1</v>
      </c>
    </row>
    <row r="21" spans="3:20" outlineLevel="2" x14ac:dyDescent="0.2"/>
    <row r="22" spans="3:20" outlineLevel="2" x14ac:dyDescent="0.2">
      <c r="D22" s="4" t="s">
        <v>197</v>
      </c>
      <c r="E22" s="8" t="s">
        <v>198</v>
      </c>
      <c r="M22" s="57">
        <v>58.2</v>
      </c>
      <c r="N22" s="57">
        <v>64.3</v>
      </c>
      <c r="O22" s="57">
        <v>76.5</v>
      </c>
    </row>
    <row r="23" spans="3:20" outlineLevel="2" x14ac:dyDescent="0.2">
      <c r="D23" s="4" t="s">
        <v>199</v>
      </c>
      <c r="E23" s="8" t="s">
        <v>200</v>
      </c>
      <c r="M23" s="58">
        <v>1487.8548253150057</v>
      </c>
      <c r="N23" s="58">
        <v>1516.1106791083464</v>
      </c>
      <c r="O23" s="58">
        <v>1466.6557734204791</v>
      </c>
    </row>
    <row r="24" spans="3:20" outlineLevel="2" x14ac:dyDescent="0.2"/>
    <row r="25" spans="3:20" outlineLevel="2" x14ac:dyDescent="0.2">
      <c r="D25" s="4" t="s">
        <v>197</v>
      </c>
      <c r="E25" s="8" t="s">
        <v>213</v>
      </c>
      <c r="G25" s="8" t="s">
        <v>214</v>
      </c>
      <c r="H25" s="97" t="s">
        <v>363</v>
      </c>
      <c r="N25" s="56">
        <f>N22/M22-1</f>
        <v>0.10481099656357373</v>
      </c>
      <c r="O25" s="56">
        <f>O22/N22-1</f>
        <v>0.18973561430793162</v>
      </c>
      <c r="P25" s="67">
        <f>Scenarios!P17</f>
        <v>8.6999999999999994E-2</v>
      </c>
      <c r="Q25" s="67">
        <f>Scenarios!Q17</f>
        <v>0.14699999999999999</v>
      </c>
      <c r="R25" s="67">
        <f>Scenarios!R17</f>
        <v>0.125</v>
      </c>
      <c r="S25" s="67">
        <f>Scenarios!S17</f>
        <v>8.5000000000000006E-2</v>
      </c>
      <c r="T25" s="67">
        <f>Scenarios!T17</f>
        <v>0.05</v>
      </c>
    </row>
    <row r="26" spans="3:20" outlineLevel="2" x14ac:dyDescent="0.2">
      <c r="D26" s="4" t="s">
        <v>199</v>
      </c>
      <c r="E26" s="8" t="s">
        <v>213</v>
      </c>
      <c r="G26" s="8" t="s">
        <v>214</v>
      </c>
      <c r="H26" s="97" t="s">
        <v>363</v>
      </c>
      <c r="N26" s="56">
        <f>N23/M23-1</f>
        <v>1.8991001885791059E-2</v>
      </c>
      <c r="O26" s="56">
        <f>O23/N23-1</f>
        <v>-3.2619587982160136E-2</v>
      </c>
      <c r="P26" s="67">
        <f>Scenarios!P23</f>
        <v>1.9E-2</v>
      </c>
      <c r="Q26" s="67">
        <f>Scenarios!Q23</f>
        <v>-7.0000000000000001E-3</v>
      </c>
      <c r="R26" s="67">
        <f>Scenarios!R23</f>
        <v>2E-3</v>
      </c>
      <c r="S26" s="67">
        <f>Scenarios!S23</f>
        <v>1.7000000000000001E-2</v>
      </c>
      <c r="T26" s="67">
        <f>Scenarios!T23</f>
        <v>0.01</v>
      </c>
    </row>
    <row r="27" spans="3:20" outlineLevel="2" x14ac:dyDescent="0.2"/>
    <row r="28" spans="3:20" ht="15.75" outlineLevel="1" x14ac:dyDescent="0.25">
      <c r="C28" s="3" t="s">
        <v>226</v>
      </c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98"/>
      <c r="S28" s="3"/>
      <c r="T28" s="3"/>
    </row>
    <row r="29" spans="3:20" outlineLevel="2" x14ac:dyDescent="0.2">
      <c r="D29" s="4" t="s">
        <v>101</v>
      </c>
      <c r="E29" s="8" t="s">
        <v>213</v>
      </c>
      <c r="G29" s="8" t="s">
        <v>216</v>
      </c>
      <c r="N29" s="56">
        <f>'P&amp;L'!N50/'P&amp;L'!N$43</f>
        <v>0.21080309890915869</v>
      </c>
      <c r="O29" s="56">
        <f>'P&amp;L'!O50/'P&amp;L'!O$43</f>
        <v>0.23042951893582098</v>
      </c>
      <c r="P29" s="54">
        <v>0.221</v>
      </c>
      <c r="Q29" s="54">
        <v>0.22600000000000001</v>
      </c>
      <c r="R29" s="54">
        <v>0.24399999999999999</v>
      </c>
      <c r="S29" s="54">
        <v>0.245</v>
      </c>
      <c r="T29" s="54">
        <v>0.245</v>
      </c>
    </row>
    <row r="30" spans="3:20" outlineLevel="2" x14ac:dyDescent="0.2">
      <c r="D30" s="4" t="s">
        <v>102</v>
      </c>
      <c r="E30" s="8" t="s">
        <v>213</v>
      </c>
      <c r="G30" s="8" t="s">
        <v>216</v>
      </c>
      <c r="N30" s="56">
        <f>'P&amp;L'!N51/'P&amp;L'!N$43</f>
        <v>1.0650256319075149E-2</v>
      </c>
      <c r="O30" s="56">
        <f>'P&amp;L'!O51/'P&amp;L'!O$43</f>
        <v>9.5217581829930408E-3</v>
      </c>
      <c r="P30" s="54">
        <v>0.01</v>
      </c>
      <c r="Q30" s="54">
        <v>0.01</v>
      </c>
      <c r="R30" s="54">
        <v>1.4999999999999999E-2</v>
      </c>
      <c r="S30" s="54">
        <v>1.4999999999999999E-2</v>
      </c>
      <c r="T30" s="54">
        <v>1.4999999999999999E-2</v>
      </c>
    </row>
    <row r="31" spans="3:20" outlineLevel="2" x14ac:dyDescent="0.2">
      <c r="D31" s="4" t="s">
        <v>215</v>
      </c>
      <c r="E31" s="8" t="s">
        <v>213</v>
      </c>
      <c r="G31" s="8" t="s">
        <v>216</v>
      </c>
      <c r="N31" s="56">
        <f>'P&amp;L'!N52/'P&amp;L'!N$43</f>
        <v>1.0912687388178292E-2</v>
      </c>
      <c r="O31" s="56">
        <f>'P&amp;L'!O52/'P&amp;L'!O$43</f>
        <v>1.5274920342545621E-2</v>
      </c>
      <c r="P31" s="54">
        <v>1.2999999999999999E-2</v>
      </c>
      <c r="Q31" s="54">
        <v>1.4E-2</v>
      </c>
      <c r="R31" s="54">
        <v>1.6E-2</v>
      </c>
      <c r="S31" s="54">
        <v>1.6E-2</v>
      </c>
      <c r="T31" s="54">
        <v>1.6E-2</v>
      </c>
    </row>
    <row r="32" spans="3:20" outlineLevel="2" x14ac:dyDescent="0.2">
      <c r="D32" s="4" t="s">
        <v>103</v>
      </c>
      <c r="E32" s="8" t="s">
        <v>213</v>
      </c>
      <c r="G32" s="8" t="s">
        <v>216</v>
      </c>
      <c r="N32" s="56">
        <f>'P&amp;L'!N53/'P&amp;L'!N$43</f>
        <v>8.9970260661582743E-2</v>
      </c>
      <c r="O32" s="56">
        <f>'P&amp;L'!O53/'P&amp;L'!O$43</f>
        <v>8.353448852115658E-2</v>
      </c>
      <c r="P32" s="54">
        <v>8.6999999999999994E-2</v>
      </c>
      <c r="Q32" s="54">
        <v>8.5000000000000006E-2</v>
      </c>
      <c r="R32" s="54">
        <v>0.09</v>
      </c>
      <c r="S32" s="54">
        <v>0.09</v>
      </c>
      <c r="T32" s="54">
        <v>0.09</v>
      </c>
    </row>
    <row r="33" spans="3:20" outlineLevel="2" x14ac:dyDescent="0.2">
      <c r="D33" s="4" t="s">
        <v>104</v>
      </c>
      <c r="E33" s="8" t="s">
        <v>213</v>
      </c>
      <c r="G33" s="8" t="s">
        <v>216</v>
      </c>
      <c r="N33" s="56">
        <f>'P&amp;L'!N54/'P&amp;L'!N$43</f>
        <v>3.451780641819203E-3</v>
      </c>
      <c r="O33" s="56">
        <f>'P&amp;L'!O54/'P&amp;L'!O$43</f>
        <v>2.1955005607587697E-3</v>
      </c>
      <c r="P33" s="54">
        <v>3.0000000000000001E-3</v>
      </c>
      <c r="Q33" s="54">
        <v>3.0000000000000001E-3</v>
      </c>
      <c r="R33" s="54">
        <v>0.01</v>
      </c>
      <c r="S33" s="54">
        <v>0.01</v>
      </c>
      <c r="T33" s="54">
        <v>0.01</v>
      </c>
    </row>
    <row r="34" spans="3:20" outlineLevel="2" x14ac:dyDescent="0.2">
      <c r="D34" s="4" t="s">
        <v>105</v>
      </c>
      <c r="E34" s="8" t="s">
        <v>213</v>
      </c>
      <c r="G34" s="8" t="s">
        <v>216</v>
      </c>
      <c r="N34" s="56">
        <f>'P&amp;L'!N55/'P&amp;L'!N$43</f>
        <v>4.7468395007483986E-3</v>
      </c>
      <c r="O34" s="56">
        <f>'P&amp;L'!O55/'P&amp;L'!O$43</f>
        <v>4.5350901299029255E-3</v>
      </c>
      <c r="P34" s="54">
        <v>5.0000000000000001E-3</v>
      </c>
      <c r="Q34" s="54">
        <v>5.0000000000000001E-3</v>
      </c>
      <c r="R34" s="54">
        <v>8.0000000000000002E-3</v>
      </c>
      <c r="S34" s="54">
        <v>8.0000000000000002E-3</v>
      </c>
      <c r="T34" s="54">
        <v>8.0000000000000002E-3</v>
      </c>
    </row>
    <row r="35" spans="3:20" outlineLevel="2" x14ac:dyDescent="0.2">
      <c r="D35" s="4" t="s">
        <v>106</v>
      </c>
      <c r="E35" s="8" t="s">
        <v>213</v>
      </c>
      <c r="G35" s="8" t="s">
        <v>216</v>
      </c>
      <c r="N35" s="56">
        <f>'P&amp;L'!N56/'P&amp;L'!N$43</f>
        <v>4.8371089499252458E-2</v>
      </c>
      <c r="O35" s="56">
        <f>'P&amp;L'!O56/'P&amp;L'!O$43</f>
        <v>5.0897585395019276E-2</v>
      </c>
      <c r="P35" s="54">
        <v>0.05</v>
      </c>
      <c r="Q35" s="54">
        <v>0.05</v>
      </c>
      <c r="R35" s="54">
        <v>5.5E-2</v>
      </c>
      <c r="S35" s="54">
        <v>5.5E-2</v>
      </c>
      <c r="T35" s="54">
        <v>5.5E-2</v>
      </c>
    </row>
    <row r="36" spans="3:20" outlineLevel="2" x14ac:dyDescent="0.2"/>
    <row r="37" spans="3:20" ht="15.75" outlineLevel="1" x14ac:dyDescent="0.25">
      <c r="C37" s="3" t="s">
        <v>227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98"/>
      <c r="S37" s="3"/>
      <c r="T37" s="3"/>
    </row>
    <row r="38" spans="3:20" outlineLevel="2" x14ac:dyDescent="0.2">
      <c r="D38" s="4" t="s">
        <v>121</v>
      </c>
      <c r="E38" s="8" t="s">
        <v>213</v>
      </c>
      <c r="G38" s="8" t="s">
        <v>216</v>
      </c>
      <c r="N38" s="56">
        <f>'P&amp;L'!N60/'P&amp;L'!N$43</f>
        <v>1.6966553288466454E-2</v>
      </c>
      <c r="O38" s="56">
        <f>'P&amp;L'!O60/'P&amp;L'!O$43</f>
        <v>1.1247855376228284E-2</v>
      </c>
      <c r="P38" s="54">
        <v>1.4E-2</v>
      </c>
      <c r="Q38" s="54">
        <v>1.2999999999999999E-2</v>
      </c>
      <c r="R38" s="54">
        <v>3.5000000000000003E-2</v>
      </c>
      <c r="S38" s="54">
        <v>3.5000000000000003E-2</v>
      </c>
      <c r="T38" s="54">
        <v>3.5000000000000003E-2</v>
      </c>
    </row>
    <row r="39" spans="3:20" outlineLevel="2" x14ac:dyDescent="0.2">
      <c r="D39" s="4" t="s">
        <v>107</v>
      </c>
      <c r="E39" s="8" t="s">
        <v>213</v>
      </c>
      <c r="G39" s="8" t="s">
        <v>216</v>
      </c>
      <c r="N39" s="56">
        <f>'P&amp;L'!N61/'P&amp;L'!N$43</f>
        <v>2.6249090680619678E-2</v>
      </c>
      <c r="O39" s="56">
        <f>'P&amp;L'!O61/'P&amp;L'!O$43</f>
        <v>3.3664094356018685E-2</v>
      </c>
      <c r="P39" s="54">
        <v>0.03</v>
      </c>
      <c r="Q39" s="54">
        <v>3.2000000000000001E-2</v>
      </c>
      <c r="R39" s="54">
        <v>0.05</v>
      </c>
      <c r="S39" s="54">
        <v>0.05</v>
      </c>
      <c r="T39" s="54">
        <v>0.05</v>
      </c>
    </row>
    <row r="40" spans="3:20" outlineLevel="2" x14ac:dyDescent="0.2">
      <c r="D40" s="4" t="s">
        <v>111</v>
      </c>
      <c r="E40" s="8" t="s">
        <v>213</v>
      </c>
      <c r="G40" s="8" t="s">
        <v>216</v>
      </c>
      <c r="N40" s="56">
        <f>'P&amp;L'!N62/'P&amp;L'!N$43</f>
        <v>4.3586637728013702E-2</v>
      </c>
      <c r="O40" s="56">
        <f>'P&amp;L'!O62/'P&amp;L'!O$43</f>
        <v>4.9458923491707454E-2</v>
      </c>
      <c r="P40" s="54">
        <v>4.7E-2</v>
      </c>
      <c r="Q40" s="54">
        <v>4.8000000000000001E-2</v>
      </c>
      <c r="R40" s="54">
        <v>6.7000000000000004E-2</v>
      </c>
      <c r="S40" s="54">
        <v>6.9000000000000006E-2</v>
      </c>
      <c r="T40" s="54">
        <v>6.9000000000000006E-2</v>
      </c>
    </row>
    <row r="41" spans="3:20" outlineLevel="2" x14ac:dyDescent="0.2"/>
    <row r="42" spans="3:20" ht="15.75" outlineLevel="1" x14ac:dyDescent="0.25">
      <c r="C42" s="3" t="s">
        <v>228</v>
      </c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</row>
    <row r="43" spans="3:20" outlineLevel="2" x14ac:dyDescent="0.2">
      <c r="D43" s="4" t="s">
        <v>194</v>
      </c>
      <c r="E43" s="8" t="s">
        <v>213</v>
      </c>
      <c r="G43" s="8" t="s">
        <v>218</v>
      </c>
      <c r="N43" s="56">
        <f>'P&amp;L'!N18/BS!M14</f>
        <v>0.24349449115685706</v>
      </c>
      <c r="O43" s="56">
        <f>'P&amp;L'!O18/BS!N14</f>
        <v>0.24028827618202034</v>
      </c>
      <c r="P43" s="54">
        <v>0.24199999999999999</v>
      </c>
      <c r="Q43" s="54">
        <v>0.24099999999999999</v>
      </c>
      <c r="R43" s="54">
        <v>0.24199999999999999</v>
      </c>
      <c r="S43" s="54">
        <v>0.24199999999999999</v>
      </c>
      <c r="T43" s="54">
        <v>0.24199999999999999</v>
      </c>
    </row>
    <row r="44" spans="3:20" outlineLevel="2" x14ac:dyDescent="0.2">
      <c r="D44" s="4" t="s">
        <v>109</v>
      </c>
      <c r="E44" s="8" t="s">
        <v>213</v>
      </c>
      <c r="G44" s="8" t="s">
        <v>219</v>
      </c>
      <c r="N44" s="56">
        <f>'P&amp;L'!N19/BS!M16</f>
        <v>0.25129850546210042</v>
      </c>
      <c r="O44" s="56">
        <f>'P&amp;L'!O19/BS!N16</f>
        <v>0.3034329370132125</v>
      </c>
      <c r="P44" s="54">
        <v>0.27700000000000002</v>
      </c>
      <c r="Q44" s="54">
        <v>0.28999999999999998</v>
      </c>
      <c r="R44" s="54">
        <v>0.28399999999999997</v>
      </c>
      <c r="S44" s="54">
        <v>0.28699999999999998</v>
      </c>
      <c r="T44" s="54">
        <v>0.28599999999999998</v>
      </c>
    </row>
    <row r="45" spans="3:20" outlineLevel="2" x14ac:dyDescent="0.2">
      <c r="D45" s="4" t="s">
        <v>110</v>
      </c>
      <c r="E45" s="8" t="s">
        <v>213</v>
      </c>
      <c r="G45" s="8" t="s">
        <v>220</v>
      </c>
      <c r="N45" s="56">
        <f>IFERROR('P&amp;L'!N20/BS!M15,0)</f>
        <v>0</v>
      </c>
      <c r="O45" s="56">
        <f>IFERROR('P&amp;L'!O20/BS!N15,0)</f>
        <v>0.15140955207963774</v>
      </c>
      <c r="P45" s="54">
        <v>7.5999999999999998E-2</v>
      </c>
      <c r="Q45" s="54">
        <v>0.114</v>
      </c>
      <c r="R45" s="54">
        <v>9.5000000000000001E-2</v>
      </c>
      <c r="S45" s="54">
        <v>0.105</v>
      </c>
      <c r="T45" s="54">
        <v>0.1</v>
      </c>
    </row>
    <row r="46" spans="3:20" outlineLevel="2" x14ac:dyDescent="0.2"/>
    <row r="47" spans="3:20" ht="15.75" outlineLevel="1" x14ac:dyDescent="0.25">
      <c r="C47" s="3" t="s">
        <v>229</v>
      </c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</row>
    <row r="48" spans="3:20" outlineLevel="2" x14ac:dyDescent="0.2">
      <c r="D48" s="4" t="s">
        <v>100</v>
      </c>
      <c r="E48" s="8" t="str">
        <f t="shared" ref="E48:E50" si="2">Currency</f>
        <v>₦`m</v>
      </c>
      <c r="G48" s="8" t="s">
        <v>221</v>
      </c>
      <c r="N48" s="58">
        <f>'P&amp;L'!N22</f>
        <v>0</v>
      </c>
      <c r="O48" s="58">
        <f>'P&amp;L'!O22</f>
        <v>104</v>
      </c>
      <c r="P48" s="6">
        <v>104</v>
      </c>
      <c r="Q48" s="6">
        <v>104</v>
      </c>
      <c r="R48" s="6">
        <v>104</v>
      </c>
      <c r="S48" s="6">
        <v>104</v>
      </c>
      <c r="T48" s="6">
        <v>104</v>
      </c>
    </row>
    <row r="49" spans="2:20" outlineLevel="2" x14ac:dyDescent="0.2">
      <c r="D49" s="4" t="s">
        <v>201</v>
      </c>
      <c r="E49" s="8" t="str">
        <f t="shared" si="2"/>
        <v>₦`m</v>
      </c>
      <c r="G49" s="8" t="s">
        <v>221</v>
      </c>
      <c r="N49" s="58">
        <f>'P&amp;L'!N24</f>
        <v>718</v>
      </c>
      <c r="O49" s="58">
        <f>'P&amp;L'!O24</f>
        <v>1275</v>
      </c>
      <c r="P49" s="6">
        <v>996.5</v>
      </c>
      <c r="Q49" s="6">
        <v>1135.75</v>
      </c>
      <c r="R49" s="6">
        <v>1066.125</v>
      </c>
      <c r="S49" s="6">
        <v>1100.9375</v>
      </c>
      <c r="T49" s="6">
        <v>1083.53125</v>
      </c>
    </row>
    <row r="50" spans="2:20" outlineLevel="2" x14ac:dyDescent="0.2">
      <c r="D50" s="4" t="s">
        <v>204</v>
      </c>
      <c r="E50" s="8" t="str">
        <f t="shared" si="2"/>
        <v>₦`m</v>
      </c>
      <c r="G50" s="8" t="s">
        <v>221</v>
      </c>
      <c r="N50" s="58">
        <f>'P&amp;L'!N26</f>
        <v>3158</v>
      </c>
      <c r="O50" s="58">
        <f>'P&amp;L'!O26</f>
        <v>10003</v>
      </c>
      <c r="P50" s="6">
        <v>6580.5</v>
      </c>
      <c r="Q50" s="6">
        <v>8291.75</v>
      </c>
      <c r="R50" s="6">
        <v>7436.125</v>
      </c>
      <c r="S50" s="6">
        <v>7863.9375</v>
      </c>
      <c r="T50" s="6">
        <v>7650.03125</v>
      </c>
    </row>
    <row r="51" spans="2:20" outlineLevel="2" x14ac:dyDescent="0.2">
      <c r="E51" s="8"/>
      <c r="G51" s="8"/>
    </row>
    <row r="52" spans="2:20" ht="15.75" outlineLevel="1" x14ac:dyDescent="0.25">
      <c r="C52" s="3" t="s">
        <v>230</v>
      </c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</row>
    <row r="53" spans="2:20" outlineLevel="2" x14ac:dyDescent="0.2">
      <c r="D53" s="4" t="s">
        <v>116</v>
      </c>
      <c r="E53" s="8" t="s">
        <v>213</v>
      </c>
      <c r="G53" s="8" t="s">
        <v>222</v>
      </c>
      <c r="N53" s="56">
        <f>'P&amp;L'!N28/'P&amp;L'!N27</f>
        <v>0.30209731630029146</v>
      </c>
      <c r="O53" s="56">
        <f>'P&amp;L'!O28/'P&amp;L'!O27</f>
        <v>0.3133762053574416</v>
      </c>
      <c r="P53" s="54">
        <v>0.32</v>
      </c>
      <c r="Q53" s="54">
        <v>0.32</v>
      </c>
      <c r="R53" s="54">
        <v>0.32</v>
      </c>
      <c r="S53" s="54">
        <v>0.32</v>
      </c>
      <c r="T53" s="54">
        <v>0.32</v>
      </c>
    </row>
    <row r="54" spans="2:20" outlineLevel="2" x14ac:dyDescent="0.2">
      <c r="D54" s="4" t="s">
        <v>296</v>
      </c>
      <c r="E54" s="8" t="s">
        <v>213</v>
      </c>
      <c r="G54" s="8" t="s">
        <v>223</v>
      </c>
      <c r="P54" s="54">
        <v>0.05</v>
      </c>
      <c r="Q54" s="54">
        <v>0.05</v>
      </c>
      <c r="R54" s="54">
        <v>0.05</v>
      </c>
      <c r="S54" s="54">
        <v>0.05</v>
      </c>
      <c r="T54" s="54">
        <v>0.05</v>
      </c>
    </row>
    <row r="55" spans="2:20" outlineLevel="2" x14ac:dyDescent="0.2"/>
    <row r="56" spans="2:20" outlineLevel="2" x14ac:dyDescent="0.2"/>
    <row r="57" spans="2:20" ht="19.5" x14ac:dyDescent="0.3">
      <c r="B57" s="2" t="s">
        <v>65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ht="15.75" outlineLevel="1" x14ac:dyDescent="0.25">
      <c r="C58" s="3" t="s">
        <v>242</v>
      </c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</row>
    <row r="59" spans="2:20" customFormat="1" outlineLevel="2" x14ac:dyDescent="0.2">
      <c r="D59" t="s">
        <v>85</v>
      </c>
      <c r="P59">
        <f>O59+1</f>
        <v>1</v>
      </c>
      <c r="Q59" s="4">
        <f t="shared" ref="Q59:T59" si="3">P59+1</f>
        <v>2</v>
      </c>
      <c r="R59" s="4">
        <f t="shared" si="3"/>
        <v>3</v>
      </c>
      <c r="S59" s="4">
        <f t="shared" si="3"/>
        <v>4</v>
      </c>
      <c r="T59" s="4">
        <f t="shared" si="3"/>
        <v>5</v>
      </c>
    </row>
    <row r="60" spans="2:20" outlineLevel="2" x14ac:dyDescent="0.2">
      <c r="D60" s="4" t="s">
        <v>366</v>
      </c>
      <c r="P60" s="99">
        <v>0.12690000000000001</v>
      </c>
      <c r="Q60" s="99">
        <v>0.1115</v>
      </c>
      <c r="R60" s="99">
        <v>0.11</v>
      </c>
      <c r="S60" s="99">
        <v>0.1085</v>
      </c>
      <c r="T60" s="99">
        <v>0.10639999999999999</v>
      </c>
    </row>
    <row r="61" spans="2:20" outlineLevel="2" x14ac:dyDescent="0.2"/>
    <row r="62" spans="2:20" outlineLevel="2" x14ac:dyDescent="0.2">
      <c r="D62" s="4" t="s">
        <v>126</v>
      </c>
      <c r="E62" s="8" t="s">
        <v>237</v>
      </c>
      <c r="G62" s="8" t="s">
        <v>236</v>
      </c>
      <c r="N62" s="68">
        <f>'P&amp;L'!N13/AVERAGE(BS!M14:N14)</f>
        <v>1.898892882911472</v>
      </c>
      <c r="O62" s="68">
        <f>'P&amp;L'!O13/AVERAGE(BS!N14:O14)</f>
        <v>2.053594579836675</v>
      </c>
    </row>
    <row r="63" spans="2:20" outlineLevel="2" x14ac:dyDescent="0.2">
      <c r="D63" s="59" t="s">
        <v>231</v>
      </c>
      <c r="E63" s="8" t="s">
        <v>235</v>
      </c>
      <c r="G63" s="8" t="s">
        <v>233</v>
      </c>
      <c r="N63" s="58"/>
      <c r="O63" s="58"/>
      <c r="P63" s="60">
        <f t="shared" ref="P63:T63" si="4">(1+P$60)^(P$59-1)</f>
        <v>1</v>
      </c>
      <c r="Q63" s="60">
        <f>(1+Q$60)^(Q$59-1)+1.5</f>
        <v>2.6114999999999999</v>
      </c>
      <c r="R63" s="60">
        <f>(1+R$60)^(R$59-1)</f>
        <v>1.2321000000000002</v>
      </c>
      <c r="S63" s="60">
        <f>(1+S$60)^(S$59-1)-1</f>
        <v>0.36209403912500004</v>
      </c>
      <c r="T63" s="60">
        <f t="shared" si="4"/>
        <v>1.4984721247113217</v>
      </c>
    </row>
    <row r="64" spans="2:20" outlineLevel="2" x14ac:dyDescent="0.2">
      <c r="D64" s="59" t="s">
        <v>232</v>
      </c>
      <c r="E64" s="8" t="str">
        <f t="shared" ref="E64" si="5">Currency</f>
        <v>₦`m</v>
      </c>
      <c r="G64" s="8" t="s">
        <v>234</v>
      </c>
      <c r="N64" s="58"/>
      <c r="O64" s="58"/>
      <c r="P64" s="6">
        <v>0</v>
      </c>
      <c r="Q64" s="6">
        <v>0</v>
      </c>
      <c r="R64" s="6">
        <v>0</v>
      </c>
      <c r="S64" s="6">
        <v>0</v>
      </c>
      <c r="T64" s="6">
        <v>0</v>
      </c>
    </row>
    <row r="65" spans="3:20" customFormat="1" outlineLevel="2" x14ac:dyDescent="0.2">
      <c r="N65" s="58"/>
      <c r="O65" s="58"/>
    </row>
    <row r="66" spans="3:20" outlineLevel="2" x14ac:dyDescent="0.2">
      <c r="D66" s="4" t="s">
        <v>127</v>
      </c>
      <c r="E66" s="8" t="s">
        <v>237</v>
      </c>
      <c r="G66" s="8" t="s">
        <v>239</v>
      </c>
      <c r="N66" s="68">
        <f>'P&amp;L'!N13/AVERAGE(BS!M15:N15)</f>
        <v>4.9115726230537184</v>
      </c>
      <c r="O66" s="68">
        <f>'P&amp;L'!O13/AVERAGE(BS!N15:O15)</f>
        <v>2.5116826570606157</v>
      </c>
    </row>
    <row r="67" spans="3:20" outlineLevel="2" x14ac:dyDescent="0.2">
      <c r="D67" s="59" t="s">
        <v>231</v>
      </c>
      <c r="E67" s="8" t="s">
        <v>235</v>
      </c>
      <c r="G67" s="8" t="s">
        <v>233</v>
      </c>
      <c r="N67" s="58"/>
      <c r="O67" s="58"/>
      <c r="P67" s="60">
        <f t="shared" ref="P67:T67" si="6">(1+P$60)^(P$59-1)</f>
        <v>1</v>
      </c>
      <c r="Q67" s="60">
        <f t="shared" si="6"/>
        <v>1.1114999999999999</v>
      </c>
      <c r="R67" s="60">
        <f t="shared" si="6"/>
        <v>1.2321000000000002</v>
      </c>
      <c r="S67" s="60">
        <f t="shared" si="6"/>
        <v>1.362094039125</v>
      </c>
      <c r="T67" s="60">
        <f t="shared" si="6"/>
        <v>1.4984721247113217</v>
      </c>
    </row>
    <row r="68" spans="3:20" outlineLevel="2" x14ac:dyDescent="0.2">
      <c r="D68" s="59" t="s">
        <v>232</v>
      </c>
      <c r="E68" s="8" t="str">
        <f t="shared" ref="E68" si="7">Currency</f>
        <v>₦`m</v>
      </c>
      <c r="G68" s="8" t="s">
        <v>234</v>
      </c>
      <c r="N68" s="58"/>
      <c r="O68" s="58"/>
      <c r="P68" s="6">
        <v>0</v>
      </c>
      <c r="Q68" s="6">
        <v>0</v>
      </c>
      <c r="R68" s="6">
        <v>0</v>
      </c>
      <c r="S68" s="6">
        <v>0</v>
      </c>
      <c r="T68" s="6">
        <v>0</v>
      </c>
    </row>
    <row r="69" spans="3:20" customFormat="1" outlineLevel="2" x14ac:dyDescent="0.2">
      <c r="N69" s="58"/>
      <c r="O69" s="58"/>
    </row>
    <row r="70" spans="3:20" outlineLevel="2" x14ac:dyDescent="0.2">
      <c r="D70" s="4" t="s">
        <v>128</v>
      </c>
      <c r="E70" s="8" t="s">
        <v>237</v>
      </c>
      <c r="G70" s="8" t="s">
        <v>239</v>
      </c>
      <c r="N70" s="68">
        <f>'P&amp;L'!N13/AVERAGE(BS!M16:N16)</f>
        <v>9.7358539244488469</v>
      </c>
      <c r="O70" s="68">
        <f>'P&amp;L'!O13/AVERAGE(BS!N16:O16)</f>
        <v>11.605509727358141</v>
      </c>
    </row>
    <row r="71" spans="3:20" outlineLevel="2" x14ac:dyDescent="0.2">
      <c r="D71" s="59" t="s">
        <v>231</v>
      </c>
      <c r="E71" s="8" t="s">
        <v>235</v>
      </c>
      <c r="G71" s="8" t="s">
        <v>233</v>
      </c>
      <c r="N71" s="58"/>
      <c r="O71" s="58"/>
      <c r="P71" s="60">
        <f t="shared" ref="P71:T71" si="8">(1+P$60)^(P$59-1)</f>
        <v>1</v>
      </c>
      <c r="Q71" s="60">
        <f t="shared" si="8"/>
        <v>1.1114999999999999</v>
      </c>
      <c r="R71" s="60">
        <f t="shared" si="8"/>
        <v>1.2321000000000002</v>
      </c>
      <c r="S71" s="60">
        <f t="shared" si="8"/>
        <v>1.362094039125</v>
      </c>
      <c r="T71" s="60">
        <f t="shared" si="8"/>
        <v>1.4984721247113217</v>
      </c>
    </row>
    <row r="72" spans="3:20" outlineLevel="2" x14ac:dyDescent="0.2">
      <c r="D72" s="59" t="s">
        <v>232</v>
      </c>
      <c r="E72" s="8" t="str">
        <f t="shared" ref="E72" si="9">Currency</f>
        <v>₦`m</v>
      </c>
      <c r="G72" s="8" t="s">
        <v>234</v>
      </c>
      <c r="N72" s="58"/>
      <c r="O72" s="58"/>
      <c r="P72" s="6">
        <v>0</v>
      </c>
      <c r="Q72" s="6">
        <v>0</v>
      </c>
      <c r="R72" s="6">
        <v>0</v>
      </c>
      <c r="S72" s="6">
        <v>0</v>
      </c>
      <c r="T72" s="6">
        <v>0</v>
      </c>
    </row>
    <row r="73" spans="3:20" customFormat="1" outlineLevel="2" x14ac:dyDescent="0.2">
      <c r="N73" s="58"/>
      <c r="O73" s="58"/>
    </row>
    <row r="74" spans="3:20" outlineLevel="2" x14ac:dyDescent="0.2">
      <c r="D74" s="4" t="s">
        <v>130</v>
      </c>
      <c r="E74" s="8" t="s">
        <v>237</v>
      </c>
      <c r="G74" s="8" t="s">
        <v>240</v>
      </c>
      <c r="N74" s="68">
        <f>'P&amp;L'!N56/AVERAGE(BS!M17:N17)</f>
        <v>11.662407254740314</v>
      </c>
      <c r="O74" s="68">
        <f>'P&amp;L'!O56/AVERAGE(BS!N17:O17)</f>
        <v>10.67248092197477</v>
      </c>
    </row>
    <row r="75" spans="3:20" outlineLevel="2" x14ac:dyDescent="0.2">
      <c r="D75" s="59" t="s">
        <v>241</v>
      </c>
      <c r="E75" s="8" t="s">
        <v>235</v>
      </c>
      <c r="N75" s="58"/>
      <c r="O75" s="58"/>
      <c r="P75" s="60">
        <v>11.17</v>
      </c>
      <c r="Q75" s="60">
        <v>11.17</v>
      </c>
      <c r="R75" s="60">
        <v>11.17</v>
      </c>
      <c r="S75" s="60">
        <v>11.17</v>
      </c>
      <c r="T75" s="60">
        <v>11.17</v>
      </c>
    </row>
    <row r="76" spans="3:20" outlineLevel="2" x14ac:dyDescent="0.2">
      <c r="D76" s="59" t="s">
        <v>238</v>
      </c>
      <c r="E76" s="8" t="s">
        <v>213</v>
      </c>
      <c r="N76" s="58"/>
      <c r="O76" s="58"/>
      <c r="P76" s="54">
        <v>0.1</v>
      </c>
      <c r="Q76" s="54">
        <v>0.1</v>
      </c>
      <c r="R76" s="54">
        <v>0.1</v>
      </c>
      <c r="S76" s="54">
        <v>0.1</v>
      </c>
      <c r="T76" s="54">
        <v>0.1</v>
      </c>
    </row>
    <row r="77" spans="3:20" outlineLevel="2" x14ac:dyDescent="0.2">
      <c r="N77" s="58"/>
      <c r="O77" s="58"/>
    </row>
    <row r="78" spans="3:20" outlineLevel="2" x14ac:dyDescent="0.2">
      <c r="D78" s="4" t="s">
        <v>207</v>
      </c>
      <c r="E78" s="8" t="s">
        <v>213</v>
      </c>
      <c r="G78" s="8" t="s">
        <v>214</v>
      </c>
      <c r="N78" s="56">
        <f>BS!N18/BS!M18-1</f>
        <v>-0.16253742286307815</v>
      </c>
      <c r="O78" s="56">
        <f>BS!O18/BS!N18-1</f>
        <v>2.1486311488864973</v>
      </c>
      <c r="P78" s="55">
        <v>1E-4</v>
      </c>
      <c r="Q78" s="54">
        <v>0.01</v>
      </c>
      <c r="R78" s="54">
        <v>-0.05</v>
      </c>
      <c r="S78" s="54">
        <v>0.01</v>
      </c>
      <c r="T78" s="54">
        <v>-5.0000000000000001E-3</v>
      </c>
    </row>
    <row r="79" spans="3:20" outlineLevel="2" x14ac:dyDescent="0.2">
      <c r="N79" s="58"/>
      <c r="O79" s="58"/>
    </row>
    <row r="80" spans="3:20" ht="15.75" outlineLevel="1" x14ac:dyDescent="0.25">
      <c r="C80" s="3" t="s">
        <v>243</v>
      </c>
      <c r="D80" s="3"/>
      <c r="E80" s="3"/>
      <c r="F80" s="3"/>
      <c r="G80" s="3"/>
      <c r="H80" s="3"/>
      <c r="I80" s="3"/>
      <c r="J80" s="3"/>
      <c r="K80" s="3"/>
      <c r="L80" s="3"/>
      <c r="M80" s="3"/>
      <c r="N80" s="69"/>
      <c r="O80" s="69"/>
      <c r="P80" s="3"/>
      <c r="Q80" s="3"/>
      <c r="R80" s="3"/>
      <c r="S80" s="3"/>
      <c r="T80" s="3"/>
    </row>
    <row r="81" spans="3:20" outlineLevel="2" x14ac:dyDescent="0.2">
      <c r="D81" s="4" t="s">
        <v>134</v>
      </c>
      <c r="E81" s="8" t="s">
        <v>213</v>
      </c>
      <c r="G81" s="8" t="s">
        <v>245</v>
      </c>
      <c r="N81" s="56">
        <f>BS!N21/'P&amp;L'!N14</f>
        <v>2.0507336618116843E-3</v>
      </c>
      <c r="O81" s="56">
        <f>BS!O21/'P&amp;L'!O14</f>
        <v>4.0435155725940331E-3</v>
      </c>
      <c r="P81" s="54">
        <v>4.0000000000000001E-3</v>
      </c>
      <c r="Q81" s="54">
        <v>4.0000000000000001E-3</v>
      </c>
      <c r="R81" s="54">
        <v>4.0000000000000001E-3</v>
      </c>
      <c r="S81" s="54">
        <v>4.0000000000000001E-3</v>
      </c>
      <c r="T81" s="54">
        <v>4.0000000000000001E-3</v>
      </c>
    </row>
    <row r="82" spans="3:20" outlineLevel="2" x14ac:dyDescent="0.2">
      <c r="D82" s="4" t="s">
        <v>206</v>
      </c>
      <c r="E82" s="8" t="s">
        <v>213</v>
      </c>
      <c r="G82" s="8" t="s">
        <v>216</v>
      </c>
      <c r="N82" s="56">
        <f>BS!N22/'P&amp;L'!N13</f>
        <v>2.6957740049631102E-2</v>
      </c>
      <c r="O82" s="56">
        <f>BS!O22/'P&amp;L'!O13</f>
        <v>2.1516054040805414E-2</v>
      </c>
      <c r="P82" s="54">
        <v>2.5000000000000001E-2</v>
      </c>
      <c r="Q82" s="54">
        <v>2.5000000000000001E-2</v>
      </c>
      <c r="R82" s="54">
        <v>2.5000000000000001E-2</v>
      </c>
      <c r="S82" s="54">
        <v>2.5000000000000001E-2</v>
      </c>
      <c r="T82" s="54">
        <v>2.5000000000000001E-2</v>
      </c>
    </row>
    <row r="83" spans="3:20" outlineLevel="2" x14ac:dyDescent="0.2">
      <c r="D83" s="4" t="s">
        <v>205</v>
      </c>
      <c r="E83" s="8" t="str">
        <f t="shared" ref="E83" si="10">Currency</f>
        <v>₦`m</v>
      </c>
      <c r="G83" s="8" t="s">
        <v>246</v>
      </c>
      <c r="N83" s="58">
        <f>BS!N23</f>
        <v>3987</v>
      </c>
      <c r="O83" s="58">
        <f>BS!O23</f>
        <v>3273</v>
      </c>
      <c r="P83" s="6">
        <v>3273</v>
      </c>
      <c r="Q83" s="6">
        <v>3273</v>
      </c>
      <c r="R83" s="6">
        <v>3273</v>
      </c>
      <c r="S83" s="6">
        <v>3273</v>
      </c>
      <c r="T83" s="6">
        <v>3273</v>
      </c>
    </row>
    <row r="84" spans="3:20" outlineLevel="2" x14ac:dyDescent="0.2">
      <c r="D84" s="4" t="s">
        <v>131</v>
      </c>
      <c r="E84" s="8" t="s">
        <v>213</v>
      </c>
      <c r="G84" s="8" t="s">
        <v>247</v>
      </c>
      <c r="N84" s="56">
        <f>BS!N24/'P&amp;L'!N16</f>
        <v>0.28998266761206964</v>
      </c>
      <c r="O84" s="56">
        <f>BS!O24/'P&amp;L'!O16</f>
        <v>0.25523374783566821</v>
      </c>
      <c r="P84" s="54">
        <v>0.25</v>
      </c>
      <c r="Q84" s="54">
        <v>0.25</v>
      </c>
      <c r="R84" s="54">
        <v>0.25</v>
      </c>
      <c r="S84" s="54">
        <v>0.25</v>
      </c>
      <c r="T84" s="54">
        <v>0.25</v>
      </c>
    </row>
    <row r="85" spans="3:20" outlineLevel="2" x14ac:dyDescent="0.2">
      <c r="D85" s="35" t="s">
        <v>137</v>
      </c>
      <c r="E85" s="8" t="s">
        <v>213</v>
      </c>
      <c r="G85" s="8" t="s">
        <v>248</v>
      </c>
      <c r="N85" s="56">
        <f>BS!N25/BS!M26</f>
        <v>0.71776201614728741</v>
      </c>
      <c r="O85" s="56">
        <f>BS!O25/BS!N26</f>
        <v>0.4120555909114364</v>
      </c>
      <c r="P85" s="54">
        <v>0.2</v>
      </c>
      <c r="Q85" s="54">
        <v>0.2</v>
      </c>
      <c r="R85" s="54">
        <v>0.1</v>
      </c>
      <c r="S85" s="54">
        <v>0.1</v>
      </c>
      <c r="T85" s="54">
        <v>0.1</v>
      </c>
    </row>
    <row r="86" spans="3:20" outlineLevel="2" x14ac:dyDescent="0.2">
      <c r="N86" s="58"/>
      <c r="O86" s="58"/>
    </row>
    <row r="87" spans="3:20" ht="15.75" outlineLevel="1" x14ac:dyDescent="0.25">
      <c r="C87" s="3" t="s">
        <v>244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69"/>
      <c r="O87" s="69"/>
      <c r="P87" s="3"/>
      <c r="Q87" s="3"/>
      <c r="R87" s="3"/>
      <c r="S87" s="3"/>
      <c r="T87" s="3"/>
    </row>
    <row r="88" spans="3:20" outlineLevel="2" x14ac:dyDescent="0.2">
      <c r="D88" s="4" t="s">
        <v>142</v>
      </c>
      <c r="E88" s="8" t="str">
        <f t="shared" ref="E88:E90" si="11">Currency</f>
        <v>₦`m</v>
      </c>
      <c r="G88" s="8" t="s">
        <v>246</v>
      </c>
      <c r="N88" s="58">
        <f>BS!N31</f>
        <v>407</v>
      </c>
      <c r="O88" s="58">
        <f>BS!O31</f>
        <v>407</v>
      </c>
      <c r="P88" s="6">
        <v>407</v>
      </c>
      <c r="Q88" s="6">
        <v>407</v>
      </c>
      <c r="R88" s="6">
        <v>407</v>
      </c>
      <c r="S88" s="6">
        <v>407</v>
      </c>
      <c r="T88" s="6">
        <v>407</v>
      </c>
    </row>
    <row r="89" spans="3:20" outlineLevel="2" x14ac:dyDescent="0.2">
      <c r="D89" s="4" t="s">
        <v>143</v>
      </c>
      <c r="E89" s="8" t="str">
        <f t="shared" si="11"/>
        <v>₦`m</v>
      </c>
      <c r="G89" s="8" t="s">
        <v>246</v>
      </c>
      <c r="N89" s="58">
        <f>BS!N32</f>
        <v>17216</v>
      </c>
      <c r="O89" s="58">
        <f>BS!O32</f>
        <v>17216</v>
      </c>
      <c r="P89" s="6">
        <v>17216</v>
      </c>
      <c r="Q89" s="6">
        <v>17216</v>
      </c>
      <c r="R89" s="6">
        <v>17216</v>
      </c>
      <c r="S89" s="6">
        <v>17216</v>
      </c>
      <c r="T89" s="6">
        <v>17216</v>
      </c>
    </row>
    <row r="90" spans="3:20" outlineLevel="2" x14ac:dyDescent="0.2">
      <c r="D90" s="4" t="s">
        <v>144</v>
      </c>
      <c r="E90" s="8" t="str">
        <f t="shared" si="11"/>
        <v>₦`m</v>
      </c>
      <c r="G90" s="8" t="s">
        <v>246</v>
      </c>
      <c r="N90" s="58">
        <f>BS!N33</f>
        <v>521</v>
      </c>
      <c r="O90" s="58">
        <f>BS!O33</f>
        <v>239</v>
      </c>
      <c r="P90" s="6">
        <v>239</v>
      </c>
      <c r="Q90" s="6">
        <v>239</v>
      </c>
      <c r="R90" s="6">
        <v>239</v>
      </c>
      <c r="S90" s="6">
        <v>239</v>
      </c>
      <c r="T90" s="6">
        <v>239</v>
      </c>
    </row>
    <row r="91" spans="3:20" outlineLevel="2" x14ac:dyDescent="0.2">
      <c r="D91" s="4" t="s">
        <v>249</v>
      </c>
      <c r="E91" s="8" t="s">
        <v>213</v>
      </c>
      <c r="G91" s="8" t="s">
        <v>250</v>
      </c>
      <c r="N91" s="58"/>
      <c r="O91" s="58"/>
      <c r="P91" s="54">
        <v>0.8</v>
      </c>
      <c r="Q91" s="54">
        <v>0.8</v>
      </c>
      <c r="R91" s="54">
        <v>0.8</v>
      </c>
      <c r="S91" s="54">
        <v>0.8</v>
      </c>
      <c r="T91" s="54">
        <v>0.8</v>
      </c>
    </row>
    <row r="92" spans="3:20" outlineLevel="2" x14ac:dyDescent="0.2">
      <c r="N92" s="58"/>
      <c r="O92" s="58"/>
    </row>
    <row r="93" spans="3:20" ht="15.75" outlineLevel="1" x14ac:dyDescent="0.25">
      <c r="C93" s="3" t="s">
        <v>251</v>
      </c>
      <c r="D93" s="3"/>
      <c r="E93" s="3"/>
      <c r="F93" s="3"/>
      <c r="G93" s="3"/>
      <c r="H93" s="3"/>
      <c r="I93" s="3"/>
      <c r="J93" s="3"/>
      <c r="K93" s="3"/>
      <c r="L93" s="3"/>
      <c r="M93" s="3"/>
      <c r="N93" s="69"/>
      <c r="O93" s="69"/>
      <c r="P93" s="3"/>
      <c r="Q93" s="3"/>
      <c r="R93" s="3"/>
      <c r="S93" s="3"/>
      <c r="T93" s="3"/>
    </row>
    <row r="94" spans="3:20" outlineLevel="2" x14ac:dyDescent="0.2">
      <c r="D94" s="4" t="s">
        <v>153</v>
      </c>
      <c r="E94" s="8" t="str">
        <f t="shared" ref="E94" si="12">Currency</f>
        <v>₦`m</v>
      </c>
      <c r="G94" s="8" t="s">
        <v>246</v>
      </c>
      <c r="N94" s="58">
        <f>BS!N41</f>
        <v>745</v>
      </c>
      <c r="O94" s="58">
        <f>BS!O41</f>
        <v>2273</v>
      </c>
      <c r="P94" s="6">
        <v>2273</v>
      </c>
      <c r="Q94" s="6">
        <v>2273</v>
      </c>
      <c r="R94" s="6">
        <v>2273</v>
      </c>
      <c r="S94" s="6">
        <v>2273</v>
      </c>
      <c r="T94" s="6">
        <v>2273</v>
      </c>
    </row>
    <row r="95" spans="3:20" outlineLevel="2" x14ac:dyDescent="0.2">
      <c r="D95" s="4" t="s">
        <v>154</v>
      </c>
      <c r="E95" s="8" t="s">
        <v>213</v>
      </c>
      <c r="G95" s="8" t="s">
        <v>252</v>
      </c>
      <c r="N95" s="56">
        <f>BS!N42/'P&amp;L'!N61</f>
        <v>5.1388934119256192E-2</v>
      </c>
      <c r="O95" s="56">
        <f>BS!O42/'P&amp;L'!O61</f>
        <v>0.18226144511858797</v>
      </c>
      <c r="P95" s="54">
        <v>0.182</v>
      </c>
      <c r="Q95" s="54">
        <v>0.182</v>
      </c>
      <c r="R95" s="54">
        <v>0.182</v>
      </c>
      <c r="S95" s="54">
        <v>0.182</v>
      </c>
      <c r="T95" s="54">
        <v>0.182</v>
      </c>
    </row>
    <row r="96" spans="3:20" outlineLevel="2" x14ac:dyDescent="0.2">
      <c r="N96" s="58"/>
      <c r="O96" s="58"/>
    </row>
    <row r="97" spans="2:20" ht="15.75" outlineLevel="1" x14ac:dyDescent="0.25">
      <c r="C97" s="3" t="s">
        <v>253</v>
      </c>
      <c r="D97" s="3"/>
      <c r="E97" s="3"/>
      <c r="F97" s="3"/>
      <c r="G97" s="3"/>
      <c r="H97" s="3"/>
      <c r="I97" s="3"/>
      <c r="J97" s="3"/>
      <c r="K97" s="3"/>
      <c r="L97" s="3"/>
      <c r="M97" s="3"/>
      <c r="N97" s="69"/>
      <c r="O97" s="69"/>
      <c r="P97" s="3"/>
      <c r="Q97" s="3"/>
      <c r="R97" s="3"/>
      <c r="S97" s="3"/>
      <c r="T97" s="3"/>
    </row>
    <row r="98" spans="2:20" outlineLevel="2" x14ac:dyDescent="0.2">
      <c r="D98" s="4" t="s">
        <v>211</v>
      </c>
      <c r="E98" s="8" t="s">
        <v>213</v>
      </c>
      <c r="G98" s="8" t="s">
        <v>245</v>
      </c>
      <c r="N98" s="56">
        <f>BS!N45/'P&amp;L'!N14</f>
        <v>9.8927030880574654E-2</v>
      </c>
      <c r="O98" s="56">
        <f>BS!O45/'P&amp;L'!O14</f>
        <v>0.17773855430265284</v>
      </c>
      <c r="P98" s="54">
        <v>0.17799999999999999</v>
      </c>
      <c r="Q98" s="54">
        <v>0.17799999999999999</v>
      </c>
      <c r="R98" s="54">
        <v>0.17799999999999999</v>
      </c>
      <c r="S98" s="54">
        <v>0.17799999999999999</v>
      </c>
      <c r="T98" s="54">
        <v>0.17799999999999999</v>
      </c>
    </row>
    <row r="99" spans="2:20" outlineLevel="2" x14ac:dyDescent="0.2">
      <c r="D99" s="4" t="s">
        <v>208</v>
      </c>
      <c r="E99" s="8" t="str">
        <f t="shared" ref="E99" si="13">Currency</f>
        <v>₦`m</v>
      </c>
      <c r="G99" s="8" t="s">
        <v>246</v>
      </c>
      <c r="N99" s="58">
        <f>BS!N46</f>
        <v>65115</v>
      </c>
      <c r="O99" s="58">
        <f>BS!O46</f>
        <v>171477</v>
      </c>
      <c r="P99" s="6">
        <v>171477</v>
      </c>
      <c r="Q99" s="6">
        <v>171477</v>
      </c>
      <c r="R99" s="6">
        <v>171477</v>
      </c>
      <c r="S99" s="6">
        <v>171477</v>
      </c>
      <c r="T99" s="6">
        <v>171477</v>
      </c>
    </row>
    <row r="100" spans="2:20" outlineLevel="2" x14ac:dyDescent="0.2">
      <c r="D100" s="35" t="s">
        <v>209</v>
      </c>
      <c r="E100" s="8" t="s">
        <v>213</v>
      </c>
      <c r="G100" s="8" t="s">
        <v>317</v>
      </c>
      <c r="N100" s="56">
        <f>BS!N47/'P&amp;L'!N29</f>
        <v>2.1349547182991199E-3</v>
      </c>
      <c r="O100" s="56">
        <f>BS!O47/'P&amp;L'!O29</f>
        <v>2.9578878634011325E-3</v>
      </c>
      <c r="P100" s="54">
        <v>3.0000000000000001E-3</v>
      </c>
      <c r="Q100" s="54">
        <v>3.0000000000000001E-3</v>
      </c>
      <c r="R100" s="54">
        <v>3.0000000000000001E-3</v>
      </c>
      <c r="S100" s="54">
        <v>3.0000000000000001E-3</v>
      </c>
      <c r="T100" s="54">
        <v>3.0000000000000001E-3</v>
      </c>
    </row>
    <row r="101" spans="2:20" outlineLevel="2" x14ac:dyDescent="0.2">
      <c r="D101" s="4" t="s">
        <v>210</v>
      </c>
      <c r="E101" s="8" t="s">
        <v>213</v>
      </c>
      <c r="G101" s="8" t="s">
        <v>247</v>
      </c>
      <c r="N101" s="56">
        <f>BS!N48/'P&amp;L'!N16</f>
        <v>0.67888796974710475</v>
      </c>
      <c r="O101" s="56">
        <f>BS!O48/'P&amp;L'!O16</f>
        <v>0.12357941130174721</v>
      </c>
      <c r="P101" s="54">
        <v>0.124</v>
      </c>
      <c r="Q101" s="54">
        <v>0.124</v>
      </c>
      <c r="R101" s="54">
        <v>0.124</v>
      </c>
      <c r="S101" s="54">
        <v>0.124</v>
      </c>
      <c r="T101" s="54">
        <v>0.124</v>
      </c>
    </row>
    <row r="102" spans="2:20" outlineLevel="2" x14ac:dyDescent="0.2">
      <c r="D102" s="4" t="s">
        <v>212</v>
      </c>
      <c r="E102" s="8" t="s">
        <v>213</v>
      </c>
      <c r="G102" s="8" t="s">
        <v>222</v>
      </c>
      <c r="N102" s="56">
        <f>BS!N49/'P&amp;L'!N27</f>
        <v>4.1568678611768183E-2</v>
      </c>
      <c r="O102" s="56">
        <f>BS!O49/'P&amp;L'!O27</f>
        <v>7.1377905070364095E-2</v>
      </c>
      <c r="P102" s="54">
        <v>7.0999999999999994E-2</v>
      </c>
      <c r="Q102" s="54">
        <v>7.0999999999999994E-2</v>
      </c>
      <c r="R102" s="54">
        <v>7.0999999999999994E-2</v>
      </c>
      <c r="S102" s="54">
        <v>7.0999999999999994E-2</v>
      </c>
      <c r="T102" s="54">
        <v>7.0999999999999994E-2</v>
      </c>
    </row>
    <row r="103" spans="2:20" outlineLevel="2" x14ac:dyDescent="0.2">
      <c r="D103" s="4" t="s">
        <v>149</v>
      </c>
      <c r="E103" s="8" t="str">
        <f t="shared" ref="E103" si="14">Currency</f>
        <v>₦`m</v>
      </c>
      <c r="G103" s="8" t="s">
        <v>246</v>
      </c>
      <c r="N103" s="58">
        <f>BS!N50</f>
        <v>265</v>
      </c>
      <c r="O103" s="58">
        <f>BS!O50</f>
        <v>194</v>
      </c>
      <c r="P103" s="6">
        <v>194</v>
      </c>
      <c r="Q103" s="6">
        <v>194</v>
      </c>
      <c r="R103" s="6">
        <v>194</v>
      </c>
      <c r="S103" s="6">
        <v>194</v>
      </c>
      <c r="T103" s="6">
        <v>194</v>
      </c>
    </row>
    <row r="104" spans="2:20" outlineLevel="2" x14ac:dyDescent="0.2">
      <c r="D104" s="4" t="s">
        <v>157</v>
      </c>
      <c r="E104" s="8" t="s">
        <v>213</v>
      </c>
      <c r="G104" s="8" t="s">
        <v>254</v>
      </c>
      <c r="N104" s="56">
        <f>BS!N51/'P&amp;L'!N13</f>
        <v>4.0010907558442201E-2</v>
      </c>
      <c r="O104" s="56">
        <f>BS!O51/'P&amp;L'!O13</f>
        <v>4.6272625316587317E-2</v>
      </c>
      <c r="P104" s="54">
        <v>4.5999999999999999E-2</v>
      </c>
      <c r="Q104" s="54">
        <v>4.5999999999999999E-2</v>
      </c>
      <c r="R104" s="54">
        <v>4.5999999999999999E-2</v>
      </c>
      <c r="S104" s="54">
        <v>4.5999999999999999E-2</v>
      </c>
      <c r="T104" s="54">
        <v>4.5999999999999999E-2</v>
      </c>
    </row>
    <row r="105" spans="2:20" outlineLevel="2" x14ac:dyDescent="0.2">
      <c r="D105" s="4" t="s">
        <v>158</v>
      </c>
      <c r="E105" s="8" t="s">
        <v>213</v>
      </c>
      <c r="G105" s="8" t="s">
        <v>222</v>
      </c>
      <c r="N105" s="56">
        <f>BS!N52/'P&amp;L'!N27</f>
        <v>0.22530100213885751</v>
      </c>
      <c r="O105" s="56">
        <f>BS!O52/'P&amp;L'!O27</f>
        <v>0.35904762542074586</v>
      </c>
      <c r="P105" s="54">
        <v>0.35899999999999999</v>
      </c>
      <c r="Q105" s="54">
        <v>0.35899999999999999</v>
      </c>
      <c r="R105" s="54">
        <v>0.35899999999999999</v>
      </c>
      <c r="S105" s="54">
        <v>0.35899999999999999</v>
      </c>
      <c r="T105" s="54">
        <v>0.35899999999999999</v>
      </c>
    </row>
    <row r="106" spans="2:20" outlineLevel="2" x14ac:dyDescent="0.2">
      <c r="D106" s="4" t="s">
        <v>152</v>
      </c>
      <c r="E106" s="8" t="str">
        <f t="shared" ref="E106" si="15">Currency</f>
        <v>₦`m</v>
      </c>
      <c r="G106" s="8" t="s">
        <v>246</v>
      </c>
      <c r="N106" s="58">
        <f>BS!N53</f>
        <v>25761</v>
      </c>
      <c r="O106" s="58">
        <f>BS!O53</f>
        <v>24771</v>
      </c>
      <c r="P106" s="6">
        <v>24771</v>
      </c>
      <c r="Q106" s="6">
        <v>24771</v>
      </c>
      <c r="R106" s="6">
        <v>24771</v>
      </c>
      <c r="S106" s="6">
        <v>24771</v>
      </c>
      <c r="T106" s="6">
        <v>24771</v>
      </c>
    </row>
    <row r="107" spans="2:20" outlineLevel="2" x14ac:dyDescent="0.2"/>
    <row r="108" spans="2:20" ht="19.5" x14ac:dyDescent="0.3">
      <c r="B108" s="2" t="s">
        <v>255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</row>
    <row r="109" spans="2:20" ht="15.75" outlineLevel="1" x14ac:dyDescent="0.25">
      <c r="C109" s="3" t="s">
        <v>275</v>
      </c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</row>
    <row r="110" spans="2:20" outlineLevel="2" x14ac:dyDescent="0.2">
      <c r="D110" s="4" t="s">
        <v>276</v>
      </c>
      <c r="E110" s="8" t="s">
        <v>213</v>
      </c>
      <c r="P110" s="54">
        <v>0.115</v>
      </c>
      <c r="Q110" s="54">
        <v>0.115</v>
      </c>
      <c r="R110" s="54">
        <v>0.115</v>
      </c>
      <c r="S110" s="54">
        <v>0.115</v>
      </c>
      <c r="T110" s="54">
        <v>0.115</v>
      </c>
    </row>
    <row r="111" spans="2:20" outlineLevel="2" x14ac:dyDescent="0.2">
      <c r="D111" s="4" t="s">
        <v>277</v>
      </c>
      <c r="E111" s="8" t="s">
        <v>213</v>
      </c>
      <c r="P111" s="54">
        <v>8.5000000000000006E-2</v>
      </c>
      <c r="Q111" s="54">
        <v>8.5000000000000006E-2</v>
      </c>
      <c r="R111" s="54">
        <v>8.5000000000000006E-2</v>
      </c>
      <c r="S111" s="54">
        <v>8.5000000000000006E-2</v>
      </c>
      <c r="T111" s="54">
        <v>8.5000000000000006E-2</v>
      </c>
    </row>
    <row r="112" spans="2:20" outlineLevel="2" x14ac:dyDescent="0.2">
      <c r="D112" s="4" t="s">
        <v>278</v>
      </c>
      <c r="E112" s="8" t="s">
        <v>213</v>
      </c>
      <c r="P112" s="55">
        <v>2.3599999999999999E-2</v>
      </c>
      <c r="Q112" s="55">
        <v>2.3599999999999999E-2</v>
      </c>
      <c r="R112" s="55">
        <v>2.3599999999999999E-2</v>
      </c>
      <c r="S112" s="55">
        <v>2.3599999999999999E-2</v>
      </c>
      <c r="T112" s="55">
        <v>2.3599999999999999E-2</v>
      </c>
    </row>
    <row r="113" spans="3:20" outlineLevel="2" x14ac:dyDescent="0.2">
      <c r="D113" s="4" t="s">
        <v>279</v>
      </c>
      <c r="E113" s="8" t="s">
        <v>213</v>
      </c>
      <c r="P113" s="54">
        <v>1.4999999999999999E-2</v>
      </c>
      <c r="Q113" s="54">
        <v>1.4999999999999999E-2</v>
      </c>
      <c r="R113" s="54">
        <v>1.4999999999999999E-2</v>
      </c>
      <c r="S113" s="54">
        <v>1.4999999999999999E-2</v>
      </c>
      <c r="T113" s="54">
        <v>1.4999999999999999E-2</v>
      </c>
    </row>
    <row r="114" spans="3:20" outlineLevel="2" x14ac:dyDescent="0.2">
      <c r="D114" s="4" t="s">
        <v>281</v>
      </c>
      <c r="E114" s="8" t="s">
        <v>213</v>
      </c>
      <c r="P114" s="54">
        <v>0.06</v>
      </c>
      <c r="Q114" s="54">
        <v>0.06</v>
      </c>
      <c r="R114" s="54">
        <v>0.06</v>
      </c>
      <c r="S114" s="54">
        <v>0.06</v>
      </c>
      <c r="T114" s="54">
        <v>0.06</v>
      </c>
    </row>
    <row r="115" spans="3:20" outlineLevel="2" x14ac:dyDescent="0.2">
      <c r="D115" s="4" t="s">
        <v>284</v>
      </c>
      <c r="E115" s="8" t="s">
        <v>213</v>
      </c>
      <c r="N115" s="56">
        <f>78235/492073</f>
        <v>0.15899063756800313</v>
      </c>
      <c r="O115" s="56">
        <f>58267/481881</f>
        <v>0.12091574475856072</v>
      </c>
      <c r="P115" s="54">
        <v>0.121</v>
      </c>
      <c r="Q115" s="54">
        <v>0.121</v>
      </c>
      <c r="R115" s="54">
        <v>0.121</v>
      </c>
      <c r="S115" s="54">
        <v>0.121</v>
      </c>
      <c r="T115" s="54">
        <v>0.121</v>
      </c>
    </row>
    <row r="116" spans="3:20" outlineLevel="2" x14ac:dyDescent="0.2"/>
    <row r="117" spans="3:20" ht="15.75" outlineLevel="1" x14ac:dyDescent="0.25">
      <c r="C117" s="3" t="s">
        <v>148</v>
      </c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</row>
    <row r="118" spans="3:20" outlineLevel="2" x14ac:dyDescent="0.2">
      <c r="C118" s="5" t="s">
        <v>256</v>
      </c>
      <c r="D118" s="5" t="s">
        <v>2</v>
      </c>
      <c r="E118" s="5" t="s">
        <v>257</v>
      </c>
      <c r="F118" s="5" t="s">
        <v>258</v>
      </c>
      <c r="G118" s="65" t="s">
        <v>282</v>
      </c>
      <c r="H118" s="65" t="s">
        <v>283</v>
      </c>
      <c r="I118" s="5" t="s">
        <v>280</v>
      </c>
      <c r="J118" s="65" t="s">
        <v>269</v>
      </c>
    </row>
    <row r="119" spans="3:20" outlineLevel="2" x14ac:dyDescent="0.2">
      <c r="C119" s="4">
        <v>1</v>
      </c>
      <c r="D119" s="4" t="s">
        <v>261</v>
      </c>
      <c r="E119" s="4" t="s">
        <v>259</v>
      </c>
      <c r="F119" s="61">
        <v>3.5099999999999999E-2</v>
      </c>
      <c r="G119" s="62"/>
      <c r="H119" s="62">
        <v>2025</v>
      </c>
      <c r="I119" s="4" t="s">
        <v>277</v>
      </c>
      <c r="J119" s="4">
        <v>181050</v>
      </c>
    </row>
    <row r="120" spans="3:20" outlineLevel="2" x14ac:dyDescent="0.2">
      <c r="C120" s="4">
        <v>2</v>
      </c>
      <c r="D120" s="4" t="s">
        <v>262</v>
      </c>
      <c r="E120" s="4" t="s">
        <v>259</v>
      </c>
      <c r="F120" s="61">
        <v>3.5099999999999999E-2</v>
      </c>
      <c r="G120" s="62"/>
      <c r="H120" s="62">
        <v>2026</v>
      </c>
      <c r="I120" s="4" t="s">
        <v>277</v>
      </c>
      <c r="J120" s="4">
        <v>199312</v>
      </c>
    </row>
    <row r="121" spans="3:20" outlineLevel="2" x14ac:dyDescent="0.2">
      <c r="C121" s="4">
        <v>3</v>
      </c>
      <c r="D121" s="4" t="s">
        <v>263</v>
      </c>
      <c r="E121" s="4" t="s">
        <v>260</v>
      </c>
      <c r="F121" s="61">
        <v>5.7000000000000002E-2</v>
      </c>
      <c r="G121" s="62"/>
      <c r="H121" s="62">
        <v>2021</v>
      </c>
      <c r="I121" s="4" t="s">
        <v>277</v>
      </c>
      <c r="J121" s="4">
        <v>79215</v>
      </c>
    </row>
    <row r="122" spans="3:20" outlineLevel="2" x14ac:dyDescent="0.2">
      <c r="C122" s="4">
        <v>4</v>
      </c>
      <c r="D122" s="4" t="s">
        <v>264</v>
      </c>
      <c r="E122" s="4" t="s">
        <v>259</v>
      </c>
      <c r="F122" s="61">
        <v>1.43E-2</v>
      </c>
      <c r="G122" s="62"/>
      <c r="H122" s="62">
        <v>2021</v>
      </c>
      <c r="I122" s="4" t="s">
        <v>277</v>
      </c>
      <c r="J122" s="4">
        <v>19831</v>
      </c>
    </row>
    <row r="123" spans="3:20" outlineLevel="2" x14ac:dyDescent="0.2">
      <c r="C123" s="4">
        <v>5</v>
      </c>
      <c r="D123" s="4" t="s">
        <v>265</v>
      </c>
      <c r="E123" s="4" t="s">
        <v>259</v>
      </c>
      <c r="F123" s="61">
        <v>1.43E-2</v>
      </c>
      <c r="G123" s="62"/>
      <c r="H123" s="62">
        <v>2022</v>
      </c>
      <c r="I123" s="4" t="s">
        <v>278</v>
      </c>
      <c r="J123" s="4">
        <v>9353</v>
      </c>
    </row>
    <row r="124" spans="3:20" outlineLevel="2" x14ac:dyDescent="0.2">
      <c r="C124" s="4">
        <v>6</v>
      </c>
      <c r="D124" s="4" t="s">
        <v>266</v>
      </c>
      <c r="E124" s="4" t="s">
        <v>259</v>
      </c>
      <c r="F124" s="61">
        <v>5.7599999999999998E-2</v>
      </c>
      <c r="G124" s="62"/>
      <c r="H124" s="62">
        <v>2022</v>
      </c>
      <c r="I124" s="4" t="s">
        <v>278</v>
      </c>
      <c r="J124" s="4">
        <v>4544</v>
      </c>
    </row>
    <row r="125" spans="3:20" outlineLevel="2" x14ac:dyDescent="0.2">
      <c r="C125" s="4">
        <v>7</v>
      </c>
      <c r="D125" s="4" t="s">
        <v>267</v>
      </c>
      <c r="E125" s="4" t="s">
        <v>259</v>
      </c>
      <c r="F125" s="61">
        <v>5.7599999999999998E-2</v>
      </c>
      <c r="G125" s="62"/>
      <c r="H125" s="62">
        <v>2022</v>
      </c>
      <c r="I125" s="4" t="s">
        <v>278</v>
      </c>
      <c r="J125" s="4">
        <v>8420</v>
      </c>
    </row>
    <row r="126" spans="3:20" outlineLevel="2" x14ac:dyDescent="0.2">
      <c r="C126" s="4">
        <v>8</v>
      </c>
      <c r="D126" s="4" t="s">
        <v>268</v>
      </c>
      <c r="E126" s="4" t="s">
        <v>259</v>
      </c>
      <c r="F126" s="61">
        <v>5.7599999999999998E-2</v>
      </c>
      <c r="G126" s="62"/>
      <c r="H126" s="62">
        <v>2023</v>
      </c>
      <c r="I126" s="4" t="s">
        <v>278</v>
      </c>
      <c r="J126" s="4">
        <v>19425</v>
      </c>
    </row>
    <row r="127" spans="3:20" outlineLevel="2" x14ac:dyDescent="0.2">
      <c r="C127" s="4">
        <v>9</v>
      </c>
      <c r="D127" s="4" t="s">
        <v>270</v>
      </c>
      <c r="E127" s="4" t="s">
        <v>259</v>
      </c>
      <c r="F127" s="64">
        <v>3.5099999999999999E-2</v>
      </c>
      <c r="G127" s="63">
        <v>2021</v>
      </c>
      <c r="H127" s="63">
        <f>G127+2</f>
        <v>2023</v>
      </c>
      <c r="I127" s="6" t="s">
        <v>277</v>
      </c>
      <c r="J127" s="6">
        <v>97519</v>
      </c>
    </row>
    <row r="128" spans="3:20" outlineLevel="2" x14ac:dyDescent="0.2">
      <c r="C128" s="4">
        <v>10</v>
      </c>
      <c r="D128" s="4" t="s">
        <v>271</v>
      </c>
      <c r="E128" s="4" t="s">
        <v>260</v>
      </c>
      <c r="F128" s="64">
        <v>5.7000000000000002E-2</v>
      </c>
      <c r="G128" s="63">
        <v>2022</v>
      </c>
      <c r="H128" s="63">
        <f t="shared" ref="H128:H131" si="16">G128+2</f>
        <v>2024</v>
      </c>
      <c r="I128" s="6" t="s">
        <v>278</v>
      </c>
      <c r="J128" s="6">
        <v>161597.02496126731</v>
      </c>
    </row>
    <row r="129" spans="3:20" outlineLevel="2" x14ac:dyDescent="0.2">
      <c r="C129" s="4">
        <v>11</v>
      </c>
      <c r="D129" s="4" t="s">
        <v>272</v>
      </c>
      <c r="E129" s="4" t="s">
        <v>259</v>
      </c>
      <c r="F129" s="64">
        <v>1.43E-2</v>
      </c>
      <c r="G129" s="63">
        <v>2023</v>
      </c>
      <c r="H129" s="63">
        <f t="shared" si="16"/>
        <v>2025</v>
      </c>
      <c r="I129" s="6" t="s">
        <v>277</v>
      </c>
      <c r="J129" s="6">
        <v>244004.05420305301</v>
      </c>
    </row>
    <row r="130" spans="3:20" outlineLevel="2" x14ac:dyDescent="0.2">
      <c r="C130" s="4">
        <v>12</v>
      </c>
      <c r="D130" s="4" t="s">
        <v>273</v>
      </c>
      <c r="E130" s="4" t="s">
        <v>260</v>
      </c>
      <c r="F130" s="64">
        <v>5.7599999999999998E-2</v>
      </c>
      <c r="G130" s="63">
        <v>2024</v>
      </c>
      <c r="H130" s="63">
        <f t="shared" si="16"/>
        <v>2026</v>
      </c>
      <c r="I130" s="6" t="s">
        <v>278</v>
      </c>
      <c r="J130" s="6">
        <v>168469.38906150631</v>
      </c>
    </row>
    <row r="131" spans="3:20" outlineLevel="2" x14ac:dyDescent="0.2">
      <c r="C131" s="4">
        <v>13</v>
      </c>
      <c r="D131" s="4" t="s">
        <v>274</v>
      </c>
      <c r="E131" s="4" t="s">
        <v>259</v>
      </c>
      <c r="F131" s="64">
        <v>1.43E-2</v>
      </c>
      <c r="G131" s="63">
        <v>2025</v>
      </c>
      <c r="H131" s="63">
        <f t="shared" si="16"/>
        <v>2027</v>
      </c>
      <c r="I131" s="6" t="s">
        <v>278</v>
      </c>
      <c r="J131" s="6">
        <v>431522.22438965482</v>
      </c>
    </row>
    <row r="132" spans="3:20" outlineLevel="2" x14ac:dyDescent="0.2"/>
    <row r="133" spans="3:20" outlineLevel="2" x14ac:dyDescent="0.2">
      <c r="D133" s="4" t="s">
        <v>356</v>
      </c>
      <c r="E133" s="66" t="s">
        <v>235</v>
      </c>
      <c r="N133" s="87">
        <f>'P&amp;L'!N13/AVERAGE(BS!M38:N38)</f>
        <v>2.8356652171172874</v>
      </c>
      <c r="O133" s="87">
        <f>'P&amp;L'!O13/AVERAGE(BS!N38:O38)</f>
        <v>2.8840131435205616</v>
      </c>
      <c r="P133" s="60">
        <v>2.86</v>
      </c>
      <c r="Q133" s="60">
        <v>2.86</v>
      </c>
      <c r="R133" s="60">
        <v>2.86</v>
      </c>
      <c r="S133" s="60">
        <v>2.86</v>
      </c>
      <c r="T133" s="60">
        <v>2.86</v>
      </c>
    </row>
    <row r="134" spans="3:20" outlineLevel="2" x14ac:dyDescent="0.2"/>
    <row r="135" spans="3:20" ht="15.75" outlineLevel="1" x14ac:dyDescent="0.25">
      <c r="C135" s="3" t="s">
        <v>285</v>
      </c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</row>
    <row r="136" spans="3:20" outlineLevel="2" x14ac:dyDescent="0.2">
      <c r="D136" s="4" t="s">
        <v>286</v>
      </c>
      <c r="E136" s="66" t="s">
        <v>213</v>
      </c>
      <c r="F136" s="8"/>
      <c r="G136" s="8" t="s">
        <v>321</v>
      </c>
      <c r="N136" s="56">
        <f>BS!N39/'P&amp;L'!N13</f>
        <v>0.42063597220453208</v>
      </c>
      <c r="O136" s="56">
        <f>BS!O39/'P&amp;L'!O13</f>
        <v>0.47667466335905645</v>
      </c>
      <c r="P136" s="54">
        <v>0.42099999999999999</v>
      </c>
      <c r="Q136" s="54">
        <v>0.4</v>
      </c>
      <c r="R136" s="54">
        <v>0.35</v>
      </c>
      <c r="S136" s="54">
        <v>0.3</v>
      </c>
      <c r="T136" s="54">
        <v>0.32</v>
      </c>
    </row>
    <row r="137" spans="3:20" outlineLevel="2" x14ac:dyDescent="0.2">
      <c r="D137" s="4" t="s">
        <v>287</v>
      </c>
      <c r="E137" s="66" t="s">
        <v>213</v>
      </c>
      <c r="F137" s="8"/>
      <c r="G137" s="8" t="s">
        <v>288</v>
      </c>
      <c r="N137" s="56">
        <f>26676/492073</f>
        <v>5.4211468623557885E-2</v>
      </c>
      <c r="O137" s="56">
        <f>33265/481881</f>
        <v>6.903156588452336E-2</v>
      </c>
      <c r="P137" s="54">
        <v>6.9000000000000006E-2</v>
      </c>
      <c r="Q137" s="54">
        <v>6.9000000000000006E-2</v>
      </c>
      <c r="R137" s="54">
        <v>6.9000000000000006E-2</v>
      </c>
      <c r="S137" s="54">
        <v>6.9000000000000006E-2</v>
      </c>
      <c r="T137" s="54">
        <v>6.9000000000000006E-2</v>
      </c>
    </row>
    <row r="138" spans="3:20" outlineLevel="2" x14ac:dyDescent="0.2"/>
    <row r="139" spans="3:20" outlineLevel="2" x14ac:dyDescent="0.2"/>
    <row r="140" spans="3:20" outlineLevel="2" x14ac:dyDescent="0.2"/>
    <row r="141" spans="3:20" outlineLevel="2" x14ac:dyDescent="0.2"/>
    <row r="142" spans="3:20" outlineLevel="2" x14ac:dyDescent="0.2"/>
    <row r="143" spans="3:20" outlineLevel="2" x14ac:dyDescent="0.2"/>
    <row r="144" spans="3:20" outlineLevel="2" x14ac:dyDescent="0.2"/>
    <row r="145" outlineLevel="1" x14ac:dyDescent="0.2"/>
  </sheetData>
  <phoneticPr fontId="37" type="noConversion"/>
  <dataValidations disablePrompts="1" count="1">
    <dataValidation type="list" allowBlank="1" showInputMessage="1" showErrorMessage="1" sqref="I119:I131" xr:uid="{A7DE2A98-3219-447F-A703-6110ABFED7F2}">
      <formula1>"LIBOR, NIBOR, None"</formula1>
    </dataValidation>
  </dataValidations>
  <pageMargins left="0.7" right="0.7" top="0.75" bottom="0.75" header="0.3" footer="0.3"/>
  <pageSetup paperSize="9" scale="75" fitToHeight="0" orientation="landscape" r:id="rId1"/>
  <headerFooter>
    <oddFooter>&amp;LPrinted on: &amp;D at &amp;T&amp;C&amp;A&amp;R&amp;P of &amp;N</oddFooter>
  </headerFooter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0" r:id="rId5" name="Drop Down 6">
              <controlPr defaultSize="0" autoLine="0" autoPict="0">
                <anchor moveWithCells="1">
                  <from>
                    <xdr:col>17</xdr:col>
                    <xdr:colOff>180975</xdr:colOff>
                    <xdr:row>2</xdr:row>
                    <xdr:rowOff>19050</xdr:rowOff>
                  </from>
                  <to>
                    <xdr:col>18</xdr:col>
                    <xdr:colOff>666750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E741C-707E-4334-AC85-041D30A11126}">
  <sheetPr codeName="Sheet9">
    <tabColor theme="5" tint="-0.499984740745262"/>
    <pageSetUpPr fitToPage="1"/>
  </sheetPr>
  <dimension ref="B1:T40"/>
  <sheetViews>
    <sheetView showGridLines="0" workbookViewId="0">
      <pane ySplit="7" topLeftCell="A8" activePane="bottomLeft" state="frozen"/>
      <selection activeCell="D6" sqref="D6"/>
      <selection pane="bottomLeft" activeCell="A8" sqref="A8"/>
    </sheetView>
  </sheetViews>
  <sheetFormatPr defaultColWidth="8.75" defaultRowHeight="14.25" outlineLevelRow="2" x14ac:dyDescent="0.2"/>
  <cols>
    <col min="1" max="3" width="3.625" style="4" customWidth="1"/>
    <col min="4" max="4" width="21.625" style="4" customWidth="1"/>
    <col min="5" max="5" width="5.5" style="4" customWidth="1"/>
    <col min="6" max="6" width="9.25" style="4" customWidth="1"/>
    <col min="7" max="7" width="8.75" style="4"/>
    <col min="8" max="8" width="1.875" style="4" customWidth="1"/>
    <col min="9" max="9" width="11.75" style="4" bestFit="1" customWidth="1"/>
    <col min="10" max="10" width="14" style="4" bestFit="1" customWidth="1"/>
    <col min="11" max="12" width="2.75" style="4" customWidth="1"/>
    <col min="13" max="13" width="6.25" style="4" bestFit="1" customWidth="1"/>
    <col min="14" max="16384" width="8.75" style="4"/>
  </cols>
  <sheetData>
    <row r="1" spans="2:20" ht="5.45" customHeight="1" x14ac:dyDescent="0.2"/>
    <row r="2" spans="2:20" ht="20.25" x14ac:dyDescent="0.3">
      <c r="B2" s="20" t="str">
        <f>Menu!$F$7</f>
        <v>MTN Nigeria Communications Plc.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spans="2:20" ht="18" x14ac:dyDescent="0.25">
      <c r="C3" s="40" t="s">
        <v>179</v>
      </c>
    </row>
    <row r="4" spans="2:20" ht="15" x14ac:dyDescent="0.25">
      <c r="D4" s="96" t="str">
        <f>Scenario</f>
        <v>Live Scenario: Base case</v>
      </c>
    </row>
    <row r="5" spans="2:20" ht="15.75" x14ac:dyDescent="0.25">
      <c r="D5" s="107" t="str">
        <f>Balanced</f>
        <v>Model Balance Check: OK</v>
      </c>
      <c r="M5" s="50" t="s">
        <v>90</v>
      </c>
      <c r="N5" s="42" t="s">
        <v>90</v>
      </c>
      <c r="O5" s="42" t="s">
        <v>90</v>
      </c>
      <c r="P5" s="42" t="s">
        <v>91</v>
      </c>
      <c r="Q5" s="42" t="s">
        <v>91</v>
      </c>
      <c r="R5" s="42" t="s">
        <v>91</v>
      </c>
      <c r="S5" s="42" t="s">
        <v>91</v>
      </c>
      <c r="T5" s="42" t="s">
        <v>91</v>
      </c>
    </row>
    <row r="6" spans="2:20" x14ac:dyDescent="0.2">
      <c r="D6" s="4" t="s">
        <v>85</v>
      </c>
      <c r="M6" s="51">
        <f>N6-1</f>
        <v>2018</v>
      </c>
      <c r="N6" s="38">
        <f>O6-1</f>
        <v>2019</v>
      </c>
      <c r="O6" s="38">
        <f>Menu!$F$14</f>
        <v>2020</v>
      </c>
      <c r="P6" s="37">
        <f>O6+1</f>
        <v>2021</v>
      </c>
      <c r="Q6" s="37">
        <f t="shared" ref="Q6:T6" si="0">P6+1</f>
        <v>2022</v>
      </c>
      <c r="R6" s="37">
        <f t="shared" si="0"/>
        <v>2023</v>
      </c>
      <c r="S6" s="37">
        <f t="shared" si="0"/>
        <v>2024</v>
      </c>
      <c r="T6" s="37">
        <f t="shared" si="0"/>
        <v>2025</v>
      </c>
    </row>
    <row r="7" spans="2:20" ht="25.5" x14ac:dyDescent="0.2">
      <c r="D7" s="8" t="s">
        <v>81</v>
      </c>
      <c r="E7" s="8" t="s">
        <v>82</v>
      </c>
      <c r="F7" s="8" t="s">
        <v>83</v>
      </c>
      <c r="G7" s="8" t="s">
        <v>84</v>
      </c>
      <c r="I7" s="45" t="s">
        <v>118</v>
      </c>
      <c r="J7" s="45" t="s">
        <v>119</v>
      </c>
    </row>
    <row r="9" spans="2:20" ht="19.5" x14ac:dyDescent="0.3">
      <c r="B9" s="2" t="s">
        <v>179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ht="15.75" outlineLevel="1" x14ac:dyDescent="0.25">
      <c r="C10" s="3" t="s">
        <v>359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2:20" customFormat="1" ht="15" outlineLevel="2" x14ac:dyDescent="0.25">
      <c r="D11" s="46" t="str" cm="1">
        <f t="array" ref="D11">"Live Scenario: "&amp;INDEX(S_List,S_Button)</f>
        <v>Live Scenario: Base case</v>
      </c>
    </row>
    <row r="12" spans="2:20" outlineLevel="2" x14ac:dyDescent="0.2">
      <c r="D12" s="4" t="s">
        <v>360</v>
      </c>
      <c r="F12" s="88">
        <v>1</v>
      </c>
    </row>
    <row r="13" spans="2:20" outlineLevel="2" x14ac:dyDescent="0.2">
      <c r="D13" s="4" t="s">
        <v>361</v>
      </c>
    </row>
    <row r="14" spans="2:20" outlineLevel="2" x14ac:dyDescent="0.2">
      <c r="D14" s="4" t="s">
        <v>362</v>
      </c>
    </row>
    <row r="15" spans="2:20" outlineLevel="2" x14ac:dyDescent="0.2"/>
    <row r="16" spans="2:20" ht="15.75" outlineLevel="1" x14ac:dyDescent="0.25">
      <c r="C16" s="3" t="s">
        <v>197</v>
      </c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</row>
    <row r="17" spans="2:20" ht="15" outlineLevel="2" x14ac:dyDescent="0.25">
      <c r="P17" s="95">
        <f>CHOOSE(S_Button,P18,P19,P20)</f>
        <v>8.6999999999999994E-2</v>
      </c>
      <c r="Q17" s="95">
        <f>CHOOSE(S_Button,Q18,Q19,Q20)</f>
        <v>0.14699999999999999</v>
      </c>
      <c r="R17" s="95">
        <f>CHOOSE(S_Button,R18,R19,R20)</f>
        <v>0.125</v>
      </c>
      <c r="S17" s="95">
        <f>CHOOSE(S_Button,S18,S19,S20)</f>
        <v>8.5000000000000006E-2</v>
      </c>
      <c r="T17" s="95">
        <f>CHOOSE(S_Button,T18,T19,T20)</f>
        <v>0.05</v>
      </c>
    </row>
    <row r="18" spans="2:20" outlineLevel="2" x14ac:dyDescent="0.2">
      <c r="D18" s="4" t="str">
        <f>D$12</f>
        <v>Base case</v>
      </c>
      <c r="E18" s="8" t="s">
        <v>213</v>
      </c>
      <c r="P18" s="54">
        <v>8.6999999999999994E-2</v>
      </c>
      <c r="Q18" s="54">
        <v>0.14699999999999999</v>
      </c>
      <c r="R18" s="54">
        <v>0.125</v>
      </c>
      <c r="S18" s="54">
        <v>8.5000000000000006E-2</v>
      </c>
      <c r="T18" s="54">
        <v>0.05</v>
      </c>
    </row>
    <row r="19" spans="2:20" outlineLevel="2" x14ac:dyDescent="0.2">
      <c r="D19" s="4" t="str">
        <f>D$13</f>
        <v>Best case</v>
      </c>
      <c r="E19" s="8" t="s">
        <v>213</v>
      </c>
      <c r="F19" s="94">
        <v>0.05</v>
      </c>
      <c r="P19" s="52">
        <f t="shared" ref="P19" si="1">P18+$F19</f>
        <v>0.13700000000000001</v>
      </c>
      <c r="Q19" s="52">
        <f t="shared" ref="Q19" si="2">Q18+$F19</f>
        <v>0.19700000000000001</v>
      </c>
      <c r="R19" s="52">
        <f t="shared" ref="R19" si="3">R18+$F19</f>
        <v>0.17499999999999999</v>
      </c>
      <c r="S19" s="52">
        <f t="shared" ref="S19" si="4">S18+$F19</f>
        <v>0.13500000000000001</v>
      </c>
      <c r="T19" s="52">
        <f t="shared" ref="T19" si="5">T18+$F19</f>
        <v>0.1</v>
      </c>
    </row>
    <row r="20" spans="2:20" outlineLevel="2" x14ac:dyDescent="0.2">
      <c r="D20" s="4" t="str">
        <f>D$14</f>
        <v>Worse case</v>
      </c>
      <c r="E20" s="8" t="s">
        <v>213</v>
      </c>
      <c r="F20" s="94">
        <v>-0.1</v>
      </c>
      <c r="P20" s="52">
        <f>P18+$F20</f>
        <v>-1.3000000000000012E-2</v>
      </c>
      <c r="Q20" s="52">
        <f t="shared" ref="Q20:T20" si="6">Q18+$F20</f>
        <v>4.6999999999999986E-2</v>
      </c>
      <c r="R20" s="52">
        <f t="shared" si="6"/>
        <v>2.4999999999999994E-2</v>
      </c>
      <c r="S20" s="52">
        <f t="shared" si="6"/>
        <v>-1.4999999999999999E-2</v>
      </c>
      <c r="T20" s="52">
        <f t="shared" si="6"/>
        <v>-0.05</v>
      </c>
    </row>
    <row r="21" spans="2:20" outlineLevel="2" x14ac:dyDescent="0.2"/>
    <row r="22" spans="2:20" ht="15.75" outlineLevel="1" x14ac:dyDescent="0.25">
      <c r="C22" s="3" t="s">
        <v>199</v>
      </c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</row>
    <row r="23" spans="2:20" ht="15" outlineLevel="2" x14ac:dyDescent="0.25">
      <c r="P23" s="95">
        <f>CHOOSE(S_Button,P24,P25,P26)</f>
        <v>1.9E-2</v>
      </c>
      <c r="Q23" s="95">
        <f>CHOOSE(S_Button,Q24,Q25,Q26)</f>
        <v>-7.0000000000000001E-3</v>
      </c>
      <c r="R23" s="95">
        <f>CHOOSE(S_Button,R24,R25,R26)</f>
        <v>2E-3</v>
      </c>
      <c r="S23" s="95">
        <f>CHOOSE(S_Button,S24,S25,S26)</f>
        <v>1.7000000000000001E-2</v>
      </c>
      <c r="T23" s="95">
        <f>CHOOSE(S_Button,T24,T25,T26)</f>
        <v>0.01</v>
      </c>
    </row>
    <row r="24" spans="2:20" outlineLevel="2" x14ac:dyDescent="0.2">
      <c r="D24" s="4" t="str">
        <f>D$12</f>
        <v>Base case</v>
      </c>
      <c r="E24" s="8" t="s">
        <v>213</v>
      </c>
      <c r="P24" s="54">
        <v>1.9E-2</v>
      </c>
      <c r="Q24" s="54">
        <v>-7.0000000000000001E-3</v>
      </c>
      <c r="R24" s="54">
        <v>2E-3</v>
      </c>
      <c r="S24" s="54">
        <v>1.7000000000000001E-2</v>
      </c>
      <c r="T24" s="54">
        <v>0.01</v>
      </c>
    </row>
    <row r="25" spans="2:20" outlineLevel="2" x14ac:dyDescent="0.2">
      <c r="D25" s="4" t="str">
        <f>D$13</f>
        <v>Best case</v>
      </c>
      <c r="E25" s="8" t="s">
        <v>213</v>
      </c>
      <c r="F25" s="94">
        <v>0.03</v>
      </c>
      <c r="P25" s="52">
        <f t="shared" ref="P25" si="7">P24+$F25</f>
        <v>4.9000000000000002E-2</v>
      </c>
      <c r="Q25" s="52">
        <f t="shared" ref="Q25" si="8">Q24+$F25</f>
        <v>2.3E-2</v>
      </c>
      <c r="R25" s="52">
        <f t="shared" ref="R25" si="9">R24+$F25</f>
        <v>3.2000000000000001E-2</v>
      </c>
      <c r="S25" s="52">
        <f t="shared" ref="S25" si="10">S24+$F25</f>
        <v>4.7E-2</v>
      </c>
      <c r="T25" s="52">
        <f t="shared" ref="T25" si="11">T24+$F25</f>
        <v>0.04</v>
      </c>
    </row>
    <row r="26" spans="2:20" outlineLevel="2" x14ac:dyDescent="0.2">
      <c r="D26" s="4" t="str">
        <f>D$14</f>
        <v>Worse case</v>
      </c>
      <c r="E26" s="8" t="s">
        <v>213</v>
      </c>
      <c r="F26" s="94">
        <v>-1.4999999999999999E-2</v>
      </c>
      <c r="P26" s="52">
        <f>P24+$F26</f>
        <v>4.0000000000000001E-3</v>
      </c>
      <c r="Q26" s="52">
        <f t="shared" ref="Q26:T26" si="12">Q24+$F26</f>
        <v>-2.1999999999999999E-2</v>
      </c>
      <c r="R26" s="52">
        <f t="shared" si="12"/>
        <v>-1.2999999999999999E-2</v>
      </c>
      <c r="S26" s="52">
        <f t="shared" si="12"/>
        <v>2.0000000000000018E-3</v>
      </c>
      <c r="T26" s="52">
        <f t="shared" si="12"/>
        <v>-4.9999999999999992E-3</v>
      </c>
    </row>
    <row r="27" spans="2:20" outlineLevel="2" x14ac:dyDescent="0.2"/>
    <row r="28" spans="2:20" outlineLevel="2" x14ac:dyDescent="0.2"/>
    <row r="29" spans="2:20" ht="19.5" x14ac:dyDescent="0.3">
      <c r="B29" s="2" t="s">
        <v>364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outlineLevel="2" x14ac:dyDescent="0.2">
      <c r="D30" s="4" t="s">
        <v>99</v>
      </c>
      <c r="E30" s="8" t="s">
        <v>213</v>
      </c>
      <c r="F30" s="122">
        <f>(G30-100)/100</f>
        <v>0</v>
      </c>
      <c r="G30" s="88">
        <f>Summary!L8</f>
        <v>100</v>
      </c>
    </row>
    <row r="31" spans="2:20" outlineLevel="2" x14ac:dyDescent="0.2">
      <c r="D31" s="4" t="s">
        <v>396</v>
      </c>
      <c r="E31" s="8" t="s">
        <v>213</v>
      </c>
      <c r="F31" s="122">
        <f>(G31-100)/100</f>
        <v>0</v>
      </c>
      <c r="G31" s="88">
        <f>Summary!M8</f>
        <v>100</v>
      </c>
    </row>
    <row r="32" spans="2:20" outlineLevel="2" x14ac:dyDescent="0.2">
      <c r="D32" s="4" t="s">
        <v>184</v>
      </c>
      <c r="E32" s="8" t="s">
        <v>213</v>
      </c>
      <c r="F32" s="122">
        <f>(G32-100)/100</f>
        <v>0</v>
      </c>
      <c r="G32" s="88">
        <f>Summary!N8</f>
        <v>100</v>
      </c>
    </row>
    <row r="33" outlineLevel="2" x14ac:dyDescent="0.2"/>
    <row r="34" outlineLevel="2" x14ac:dyDescent="0.2"/>
    <row r="35" outlineLevel="1" x14ac:dyDescent="0.2"/>
    <row r="36" outlineLevel="1" x14ac:dyDescent="0.2"/>
    <row r="37" outlineLevel="1" x14ac:dyDescent="0.2"/>
    <row r="38" outlineLevel="1" x14ac:dyDescent="0.2"/>
    <row r="39" outlineLevel="1" x14ac:dyDescent="0.2"/>
    <row r="40" outlineLevel="1" x14ac:dyDescent="0.2"/>
  </sheetData>
  <pageMargins left="0.7" right="0.7" top="0.75" bottom="0.75" header="0.3" footer="0.3"/>
  <pageSetup paperSize="9" scale="75" fitToHeight="0" orientation="landscape" r:id="rId1"/>
  <headerFooter>
    <oddFooter>&amp;LPrinted on: &amp;D at &amp;T&amp;C&amp;A&amp;R&amp;P of &amp;N</oddFooter>
  </headerFooter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Drop Down 1">
              <controlPr defaultSize="0" autoLine="0" autoPict="0">
                <anchor moveWithCells="1">
                  <from>
                    <xdr:col>4</xdr:col>
                    <xdr:colOff>228600</xdr:colOff>
                    <xdr:row>11</xdr:row>
                    <xdr:rowOff>57150</xdr:rowOff>
                  </from>
                  <to>
                    <xdr:col>6</xdr:col>
                    <xdr:colOff>247650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Drop Down 2">
              <controlPr defaultSize="0" autoLine="0" autoPict="0">
                <anchor moveWithCells="1">
                  <from>
                    <xdr:col>17</xdr:col>
                    <xdr:colOff>200025</xdr:colOff>
                    <xdr:row>2</xdr:row>
                    <xdr:rowOff>9525</xdr:rowOff>
                  </from>
                  <to>
                    <xdr:col>19</xdr:col>
                    <xdr:colOff>9525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03A3B-789E-4885-8EE1-45387E7646B1}">
  <sheetPr codeName="Sheet10">
    <tabColor theme="2" tint="-0.499984740745262"/>
    <outlinePr summaryBelow="0" summaryRight="0"/>
    <pageSetUpPr fitToPage="1"/>
  </sheetPr>
  <dimension ref="B1:T428"/>
  <sheetViews>
    <sheetView showGridLines="0" zoomScaleNormal="100" workbookViewId="0">
      <pane ySplit="7" topLeftCell="A106" activePane="bottomLeft" state="frozen"/>
      <selection activeCell="D6" sqref="D6"/>
      <selection pane="bottomLeft" activeCell="A106" sqref="A106"/>
    </sheetView>
  </sheetViews>
  <sheetFormatPr defaultColWidth="8.75" defaultRowHeight="14.25" outlineLevelRow="2" x14ac:dyDescent="0.2"/>
  <cols>
    <col min="1" max="3" width="3.625" style="4" customWidth="1"/>
    <col min="4" max="4" width="34.375" style="4" bestFit="1" customWidth="1"/>
    <col min="5" max="5" width="5.5" style="4" customWidth="1"/>
    <col min="6" max="6" width="6" style="4" bestFit="1" customWidth="1"/>
    <col min="7" max="7" width="11.25" style="4" bestFit="1" customWidth="1"/>
    <col min="8" max="8" width="1.875" style="4" customWidth="1"/>
    <col min="9" max="9" width="15.375" style="4" bestFit="1" customWidth="1"/>
    <col min="10" max="10" width="14" style="4" bestFit="1" customWidth="1"/>
    <col min="11" max="12" width="2.75" style="4" customWidth="1"/>
    <col min="13" max="13" width="6.25" style="4" bestFit="1" customWidth="1"/>
    <col min="14" max="14" width="10.25" style="4" bestFit="1" customWidth="1"/>
    <col min="15" max="15" width="8.75" style="4"/>
    <col min="16" max="16" width="11" style="4" bestFit="1" customWidth="1"/>
    <col min="17" max="17" width="8.75" style="4"/>
    <col min="18" max="20" width="9.375" style="4" bestFit="1" customWidth="1"/>
    <col min="21" max="16384" width="8.75" style="4"/>
  </cols>
  <sheetData>
    <row r="1" spans="2:20" ht="5.45" customHeight="1" x14ac:dyDescent="0.2"/>
    <row r="2" spans="2:20" ht="20.25" x14ac:dyDescent="0.3">
      <c r="B2" s="20" t="str">
        <f>Menu!$F$7</f>
        <v>MTN Nigeria Communications Plc.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spans="2:20" ht="18" x14ac:dyDescent="0.25">
      <c r="C3" s="40" t="s">
        <v>62</v>
      </c>
    </row>
    <row r="4" spans="2:20" ht="15" x14ac:dyDescent="0.25">
      <c r="D4" s="96" t="str">
        <f>Scenario</f>
        <v>Live Scenario: Base case</v>
      </c>
    </row>
    <row r="5" spans="2:20" ht="15.75" x14ac:dyDescent="0.25">
      <c r="D5" s="107" t="str">
        <f>Balanced</f>
        <v>Model Balance Check: OK</v>
      </c>
      <c r="M5" s="50" t="s">
        <v>90</v>
      </c>
      <c r="N5" s="42" t="s">
        <v>90</v>
      </c>
      <c r="O5" s="42" t="s">
        <v>90</v>
      </c>
      <c r="P5" s="42" t="s">
        <v>91</v>
      </c>
      <c r="Q5" s="42" t="s">
        <v>91</v>
      </c>
      <c r="R5" s="42" t="s">
        <v>91</v>
      </c>
      <c r="S5" s="42" t="s">
        <v>91</v>
      </c>
      <c r="T5" s="42" t="s">
        <v>91</v>
      </c>
    </row>
    <row r="6" spans="2:20" x14ac:dyDescent="0.2">
      <c r="D6" s="4" t="s">
        <v>85</v>
      </c>
      <c r="M6" s="51">
        <f>N6-1</f>
        <v>2018</v>
      </c>
      <c r="N6" s="38">
        <f>O6-1</f>
        <v>2019</v>
      </c>
      <c r="O6" s="38">
        <f>Menu!$F$14</f>
        <v>2020</v>
      </c>
      <c r="P6" s="37">
        <f>O6+1</f>
        <v>2021</v>
      </c>
      <c r="Q6" s="37">
        <f t="shared" ref="Q6:T6" si="0">P6+1</f>
        <v>2022</v>
      </c>
      <c r="R6" s="37">
        <f t="shared" si="0"/>
        <v>2023</v>
      </c>
      <c r="S6" s="37">
        <f t="shared" si="0"/>
        <v>2024</v>
      </c>
      <c r="T6" s="37">
        <f t="shared" si="0"/>
        <v>2025</v>
      </c>
    </row>
    <row r="7" spans="2:20" ht="25.5" x14ac:dyDescent="0.2">
      <c r="D7" s="8" t="s">
        <v>81</v>
      </c>
      <c r="E7" s="8" t="s">
        <v>82</v>
      </c>
      <c r="F7" s="8" t="s">
        <v>83</v>
      </c>
      <c r="G7" s="8" t="s">
        <v>84</v>
      </c>
      <c r="I7" s="45" t="s">
        <v>118</v>
      </c>
      <c r="J7" s="45" t="s">
        <v>119</v>
      </c>
    </row>
    <row r="9" spans="2:20" ht="19.5" x14ac:dyDescent="0.3">
      <c r="B9" s="2" t="s">
        <v>289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ht="15.75" outlineLevel="1" x14ac:dyDescent="0.25">
      <c r="C10" s="3" t="s">
        <v>99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2:20" customFormat="1" outlineLevel="2" x14ac:dyDescent="0.2">
      <c r="D11" t="str">
        <f>Input!D25</f>
        <v>Subscribers (million)</v>
      </c>
      <c r="E11" s="8"/>
      <c r="P11" s="67">
        <f>Input!P25</f>
        <v>8.6999999999999994E-2</v>
      </c>
      <c r="Q11" s="67">
        <f>Input!Q25</f>
        <v>0.14699999999999999</v>
      </c>
      <c r="R11" s="67">
        <f>Input!R25</f>
        <v>0.125</v>
      </c>
      <c r="S11" s="67">
        <f>Input!S25</f>
        <v>8.5000000000000006E-2</v>
      </c>
      <c r="T11" s="67">
        <f>Input!T25</f>
        <v>0.05</v>
      </c>
    </row>
    <row r="12" spans="2:20" outlineLevel="2" x14ac:dyDescent="0.2">
      <c r="D12" s="4" t="str">
        <f>Input!D26</f>
        <v>ARPU</v>
      </c>
      <c r="E12" s="8"/>
      <c r="P12" s="67">
        <f>Input!P26</f>
        <v>1.9E-2</v>
      </c>
      <c r="Q12" s="67">
        <f>Input!Q26</f>
        <v>-7.0000000000000001E-3</v>
      </c>
      <c r="R12" s="67">
        <f>Input!R26</f>
        <v>2E-3</v>
      </c>
      <c r="S12" s="67">
        <f>Input!S26</f>
        <v>1.7000000000000001E-2</v>
      </c>
      <c r="T12" s="67">
        <f>Input!T26</f>
        <v>0.01</v>
      </c>
    </row>
    <row r="13" spans="2:20" outlineLevel="2" x14ac:dyDescent="0.2">
      <c r="D13" s="4" t="s">
        <v>290</v>
      </c>
      <c r="E13" s="8"/>
      <c r="N13" s="58">
        <f>Menu!$F$17</f>
        <v>12</v>
      </c>
      <c r="O13" s="58">
        <f>Menu!$F$17</f>
        <v>12</v>
      </c>
      <c r="P13" s="4">
        <f>Menu!$F$17</f>
        <v>12</v>
      </c>
      <c r="Q13" s="4">
        <f>Menu!$F$17</f>
        <v>12</v>
      </c>
      <c r="R13" s="4">
        <f>Menu!$F$17</f>
        <v>12</v>
      </c>
      <c r="S13" s="4">
        <f>Menu!$F$17</f>
        <v>12</v>
      </c>
      <c r="T13" s="4">
        <f>Menu!$F$17</f>
        <v>12</v>
      </c>
    </row>
    <row r="14" spans="2:20" outlineLevel="2" x14ac:dyDescent="0.2">
      <c r="E14" s="8"/>
      <c r="N14" s="58"/>
      <c r="O14" s="58"/>
    </row>
    <row r="15" spans="2:20" outlineLevel="2" x14ac:dyDescent="0.2">
      <c r="D15" s="4" t="str">
        <f>Input!D22</f>
        <v>Subscribers (million)</v>
      </c>
      <c r="E15" s="8" t="str">
        <f>Input!E22</f>
        <v>million</v>
      </c>
      <c r="N15" s="57">
        <f>Input!N22</f>
        <v>64.3</v>
      </c>
      <c r="O15" s="57">
        <f>Input!O22</f>
        <v>76.5</v>
      </c>
      <c r="P15" s="44">
        <f>O15*(1+P11)</f>
        <v>83.155500000000004</v>
      </c>
      <c r="Q15" s="44">
        <f t="shared" ref="Q15:T15" si="1">P15*(1+Q11)</f>
        <v>95.379358500000009</v>
      </c>
      <c r="R15" s="44">
        <f t="shared" si="1"/>
        <v>107.30177831250001</v>
      </c>
      <c r="S15" s="44">
        <f t="shared" si="1"/>
        <v>116.42242946906251</v>
      </c>
      <c r="T15" s="44">
        <f t="shared" si="1"/>
        <v>122.24355094251564</v>
      </c>
    </row>
    <row r="16" spans="2:20" outlineLevel="2" x14ac:dyDescent="0.2">
      <c r="D16" s="4" t="str">
        <f>Input!D23</f>
        <v>ARPU</v>
      </c>
      <c r="E16" s="8" t="str">
        <f>Input!E23</f>
        <v>₦/month</v>
      </c>
      <c r="N16" s="58">
        <f>Input!N23</f>
        <v>1516.1106791083464</v>
      </c>
      <c r="O16" s="58">
        <f>Input!O23</f>
        <v>1466.6557734204791</v>
      </c>
      <c r="P16" s="4">
        <f>O16*(1+P12)</f>
        <v>1494.522233115468</v>
      </c>
      <c r="Q16" s="4">
        <f t="shared" ref="Q16:T16" si="2">P16*(1+Q12)</f>
        <v>1484.0605774836597</v>
      </c>
      <c r="R16" s="4">
        <f t="shared" si="2"/>
        <v>1487.028698638627</v>
      </c>
      <c r="S16" s="4">
        <f t="shared" si="2"/>
        <v>1512.3081865154836</v>
      </c>
      <c r="T16" s="4">
        <f t="shared" si="2"/>
        <v>1527.4312683806384</v>
      </c>
    </row>
    <row r="17" spans="3:20" outlineLevel="2" x14ac:dyDescent="0.2">
      <c r="E17" s="8"/>
      <c r="N17" s="58"/>
      <c r="O17" s="58"/>
    </row>
    <row r="18" spans="3:20" ht="15" outlineLevel="2" x14ac:dyDescent="0.25">
      <c r="D18" s="46" t="s">
        <v>177</v>
      </c>
      <c r="E18" s="8" t="str">
        <f>Currency</f>
        <v>₦`m</v>
      </c>
      <c r="F18" s="108">
        <f>Scenarios!F30</f>
        <v>0</v>
      </c>
      <c r="N18" s="70">
        <f>N15*N16*N13</f>
        <v>1169831</v>
      </c>
      <c r="O18" s="70">
        <f>O15*O16*O13</f>
        <v>1346390</v>
      </c>
      <c r="P18" s="48">
        <f>(P15*P16*P13)*(1+$F$18)</f>
        <v>1491332.9226699998</v>
      </c>
      <c r="Q18" s="48">
        <f t="shared" ref="Q18:T18" si="3">(Q15*Q16*Q13)*(1+$F$18)</f>
        <v>1698584.9502663722</v>
      </c>
      <c r="R18" s="48">
        <f t="shared" si="3"/>
        <v>1914729.8851877679</v>
      </c>
      <c r="S18" s="48">
        <f t="shared" si="3"/>
        <v>2112799.1181610166</v>
      </c>
      <c r="T18" s="48">
        <f t="shared" si="3"/>
        <v>2240623.4648097581</v>
      </c>
    </row>
    <row r="19" spans="3:20" outlineLevel="2" x14ac:dyDescent="0.2">
      <c r="E19" s="8"/>
      <c r="N19" s="58"/>
      <c r="O19" s="58"/>
    </row>
    <row r="20" spans="3:20" outlineLevel="2" x14ac:dyDescent="0.2">
      <c r="D20" s="4" t="str">
        <f>Input!D11</f>
        <v>Voice</v>
      </c>
      <c r="E20" s="8" t="str">
        <f t="shared" ref="E20:E29" si="4">Currency</f>
        <v>₦`m</v>
      </c>
      <c r="N20" s="58">
        <f>'P&amp;L'!N34</f>
        <v>725449</v>
      </c>
      <c r="O20" s="58">
        <f>'P&amp;L'!O34</f>
        <v>766389</v>
      </c>
      <c r="P20" s="4">
        <f>P$18*Input!P11</f>
        <v>924626.41205539985</v>
      </c>
      <c r="Q20" s="4">
        <f>Q$18*Input!Q11</f>
        <v>1010658.0454084914</v>
      </c>
      <c r="R20" s="4">
        <f>R$18*Input!R11</f>
        <v>1154582.1207682241</v>
      </c>
      <c r="S20" s="4">
        <f>S$18*Input!S11</f>
        <v>1269792.270014771</v>
      </c>
      <c r="T20" s="4">
        <f>T$18*Input!T11</f>
        <v>1346614.7023506647</v>
      </c>
    </row>
    <row r="21" spans="3:20" outlineLevel="2" x14ac:dyDescent="0.2">
      <c r="D21" s="4" t="str">
        <f>Input!D12</f>
        <v>Data</v>
      </c>
      <c r="E21" s="8" t="str">
        <f t="shared" si="4"/>
        <v>₦`m</v>
      </c>
      <c r="N21" s="58">
        <f>'P&amp;L'!N35</f>
        <v>219398</v>
      </c>
      <c r="O21" s="58">
        <f>'P&amp;L'!O35</f>
        <v>332371</v>
      </c>
      <c r="P21" s="4">
        <f>P$18*Input!P12</f>
        <v>280370.58946195996</v>
      </c>
      <c r="Q21" s="4">
        <f>Q$18*Input!Q12</f>
        <v>368592.93420780275</v>
      </c>
      <c r="R21" s="4">
        <f>R$18*Input!R12</f>
        <v>396349.08623386791</v>
      </c>
      <c r="S21" s="4">
        <f>S$18*Input!S12</f>
        <v>443687.81481381349</v>
      </c>
      <c r="T21" s="4">
        <f>T$18*Input!T12</f>
        <v>468290.30414523941</v>
      </c>
    </row>
    <row r="22" spans="3:20" outlineLevel="2" x14ac:dyDescent="0.2">
      <c r="D22" s="4" t="str">
        <f>Input!D13</f>
        <v>SMS</v>
      </c>
      <c r="E22" s="8" t="str">
        <f t="shared" si="4"/>
        <v>₦`m</v>
      </c>
      <c r="N22" s="58">
        <f>'P&amp;L'!N36</f>
        <v>13505</v>
      </c>
      <c r="O22" s="58">
        <f>'P&amp;L'!O36</f>
        <v>12330</v>
      </c>
      <c r="P22" s="4">
        <f>P$18*Input!P13</f>
        <v>17895.995072039997</v>
      </c>
      <c r="Q22" s="4">
        <f>Q$18*Input!Q13</f>
        <v>16985.849502663721</v>
      </c>
      <c r="R22" s="4">
        <f>R$18*Input!R13</f>
        <v>21062.028737065444</v>
      </c>
      <c r="S22" s="4">
        <f>S$18*Input!S13</f>
        <v>23240.790299771183</v>
      </c>
      <c r="T22" s="4">
        <f>T$18*Input!T13</f>
        <v>24646.858112907339</v>
      </c>
    </row>
    <row r="23" spans="3:20" outlineLevel="2" x14ac:dyDescent="0.2">
      <c r="D23" s="4" t="str">
        <f>Input!D14</f>
        <v>Interconnect and roaming</v>
      </c>
      <c r="E23" s="8" t="str">
        <f t="shared" si="4"/>
        <v>₦`m</v>
      </c>
      <c r="N23" s="58">
        <f>'P&amp;L'!N37</f>
        <v>125042</v>
      </c>
      <c r="O23" s="58">
        <f>'P&amp;L'!O37</f>
        <v>133078</v>
      </c>
      <c r="P23" s="4">
        <f>P$18*Input!P14</f>
        <v>159572.62272568996</v>
      </c>
      <c r="Q23" s="4">
        <f>Q$18*Input!Q14</f>
        <v>174954.24987743632</v>
      </c>
      <c r="R23" s="4">
        <f>R$18*Input!R14</f>
        <v>199131.90805952786</v>
      </c>
      <c r="S23" s="4">
        <f>S$18*Input!S14</f>
        <v>219731.10828874572</v>
      </c>
      <c r="T23" s="4">
        <f>T$18*Input!T14</f>
        <v>233024.84034021484</v>
      </c>
    </row>
    <row r="24" spans="3:20" outlineLevel="2" x14ac:dyDescent="0.2">
      <c r="D24" s="4" t="str">
        <f>Input!D15</f>
        <v>Handset and accessories</v>
      </c>
      <c r="E24" s="8" t="str">
        <f t="shared" si="4"/>
        <v>₦`m</v>
      </c>
      <c r="N24" s="58">
        <f>'P&amp;L'!N38</f>
        <v>2208</v>
      </c>
      <c r="O24" s="58">
        <f>'P&amp;L'!O38</f>
        <v>7358</v>
      </c>
      <c r="P24" s="4">
        <f>P$18*Input!P15</f>
        <v>2982.6658453399996</v>
      </c>
      <c r="Q24" s="4">
        <f>Q$18*Input!Q15</f>
        <v>6794.3398010654892</v>
      </c>
      <c r="R24" s="4">
        <f>R$18*Input!R15</f>
        <v>5744.1896555633039</v>
      </c>
      <c r="S24" s="4">
        <f>S$18*Input!S15</f>
        <v>6338.3973544830496</v>
      </c>
      <c r="T24" s="4">
        <f>T$18*Input!T15</f>
        <v>6721.8703944292747</v>
      </c>
    </row>
    <row r="25" spans="3:20" outlineLevel="2" x14ac:dyDescent="0.2">
      <c r="D25" s="4" t="str">
        <f>Input!D16</f>
        <v>Digital</v>
      </c>
      <c r="E25" s="8" t="str">
        <f t="shared" si="4"/>
        <v>₦`m</v>
      </c>
      <c r="N25" s="58">
        <f>'P&amp;L'!N39</f>
        <v>35939</v>
      </c>
      <c r="O25" s="58">
        <f>'P&amp;L'!O39</f>
        <v>37038</v>
      </c>
      <c r="P25" s="4">
        <f>P$18*Input!P16</f>
        <v>46231.320602769993</v>
      </c>
      <c r="Q25" s="4">
        <f>Q$18*Input!Q16</f>
        <v>49258.963557724797</v>
      </c>
      <c r="R25" s="4">
        <f>R$18*Input!R16</f>
        <v>57441.896555633037</v>
      </c>
      <c r="S25" s="4">
        <f>S$18*Input!S16</f>
        <v>63383.973544830493</v>
      </c>
      <c r="T25" s="4">
        <f>T$18*Input!T16</f>
        <v>67218.703944292734</v>
      </c>
    </row>
    <row r="26" spans="3:20" outlineLevel="2" x14ac:dyDescent="0.2">
      <c r="D26" s="4" t="str">
        <f>Input!D17</f>
        <v>Value added services</v>
      </c>
      <c r="E26" s="8" t="str">
        <f t="shared" si="4"/>
        <v>₦`m</v>
      </c>
      <c r="N26" s="58">
        <f>'P&amp;L'!N40</f>
        <v>37167</v>
      </c>
      <c r="O26" s="58">
        <f>'P&amp;L'!O40</f>
        <v>46444</v>
      </c>
      <c r="P26" s="4">
        <f>P$18*Input!P17</f>
        <v>47722.653525439993</v>
      </c>
      <c r="Q26" s="4">
        <f>Q$18*Input!Q17</f>
        <v>56053.303358790283</v>
      </c>
      <c r="R26" s="4">
        <f>R$18*Input!R17</f>
        <v>63186.086211196343</v>
      </c>
      <c r="S26" s="4">
        <f>S$18*Input!S17</f>
        <v>69722.370899313551</v>
      </c>
      <c r="T26" s="4">
        <f>T$18*Input!T17</f>
        <v>73940.574338722028</v>
      </c>
    </row>
    <row r="27" spans="3:20" outlineLevel="2" x14ac:dyDescent="0.2">
      <c r="D27" s="4" t="str">
        <f>Input!D18</f>
        <v>Other revenues</v>
      </c>
      <c r="E27" s="8" t="str">
        <f t="shared" si="4"/>
        <v>₦`m</v>
      </c>
      <c r="N27" s="58">
        <f>'P&amp;L'!N41</f>
        <v>11026</v>
      </c>
      <c r="O27" s="58">
        <f>'P&amp;L'!O41</f>
        <v>11287</v>
      </c>
      <c r="P27" s="4">
        <f>P$18*Input!P18</f>
        <v>11781.530089092859</v>
      </c>
      <c r="Q27" s="4">
        <f>Q$18*Input!Q18</f>
        <v>15117.406057370745</v>
      </c>
      <c r="R27" s="4">
        <f>R$18*Input!R18</f>
        <v>17041.095978171172</v>
      </c>
      <c r="S27" s="4">
        <f>S$18*Input!S18</f>
        <v>16691.113033472069</v>
      </c>
      <c r="T27" s="4">
        <f>T$18*Input!T18</f>
        <v>19941.548836806891</v>
      </c>
    </row>
    <row r="28" spans="3:20" outlineLevel="2" x14ac:dyDescent="0.2">
      <c r="D28" s="4" t="str">
        <f>Input!D19</f>
        <v>Rental Income</v>
      </c>
      <c r="E28" s="8" t="str">
        <f t="shared" si="4"/>
        <v>₦`m</v>
      </c>
      <c r="N28" s="58">
        <f>'P&amp;L'!N42</f>
        <v>97</v>
      </c>
      <c r="O28" s="58">
        <f>'P&amp;L'!O42</f>
        <v>95</v>
      </c>
      <c r="P28" s="4">
        <f>P$18*Input!P19</f>
        <v>149.13329226699997</v>
      </c>
      <c r="Q28" s="4">
        <f>Q$18*Input!Q19</f>
        <v>169.85849502663723</v>
      </c>
      <c r="R28" s="4">
        <f>R$18*Input!R19</f>
        <v>191.47298851877679</v>
      </c>
      <c r="S28" s="4">
        <f>S$18*Input!S19</f>
        <v>211.27991181610167</v>
      </c>
      <c r="T28" s="4">
        <f>T$18*Input!T19</f>
        <v>224.06234648097583</v>
      </c>
    </row>
    <row r="29" spans="3:20" ht="15" outlineLevel="2" x14ac:dyDescent="0.25">
      <c r="D29" s="46" t="s">
        <v>291</v>
      </c>
      <c r="E29" s="8" t="str">
        <f t="shared" si="4"/>
        <v>₦`m</v>
      </c>
      <c r="N29" s="70">
        <f t="shared" ref="N29:T29" si="5">SUM(N20:N28)</f>
        <v>1169831</v>
      </c>
      <c r="O29" s="70">
        <f t="shared" si="5"/>
        <v>1346390</v>
      </c>
      <c r="P29" s="48">
        <f t="shared" si="5"/>
        <v>1491332.9226699998</v>
      </c>
      <c r="Q29" s="48">
        <f t="shared" si="5"/>
        <v>1698584.9502663722</v>
      </c>
      <c r="R29" s="48">
        <f t="shared" si="5"/>
        <v>1914729.8851877681</v>
      </c>
      <c r="S29" s="48">
        <f t="shared" si="5"/>
        <v>2112799.1181610166</v>
      </c>
      <c r="T29" s="48">
        <f t="shared" si="5"/>
        <v>2240623.4648097577</v>
      </c>
    </row>
    <row r="30" spans="3:20" outlineLevel="2" x14ac:dyDescent="0.2">
      <c r="E30" s="8"/>
    </row>
    <row r="31" spans="3:20" ht="15.75" outlineLevel="1" x14ac:dyDescent="0.25">
      <c r="C31" s="3" t="s">
        <v>185</v>
      </c>
      <c r="D31" s="3"/>
      <c r="E31" s="29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</row>
    <row r="32" spans="3:20" outlineLevel="2" x14ac:dyDescent="0.2">
      <c r="D32" s="4" t="str">
        <f>D$18</f>
        <v>Total revenue</v>
      </c>
      <c r="E32" s="8" t="str">
        <f t="shared" ref="E32:E41" si="6">Currency</f>
        <v>₦`m</v>
      </c>
      <c r="P32" s="71">
        <f>P$18</f>
        <v>1491332.9226699998</v>
      </c>
      <c r="Q32" s="71">
        <f t="shared" ref="Q32:T32" si="7">Q$18</f>
        <v>1698584.9502663722</v>
      </c>
      <c r="R32" s="71">
        <f t="shared" si="7"/>
        <v>1914729.8851877679</v>
      </c>
      <c r="S32" s="71">
        <f t="shared" si="7"/>
        <v>2112799.1181610166</v>
      </c>
      <c r="T32" s="71">
        <f t="shared" si="7"/>
        <v>2240623.4648097581</v>
      </c>
    </row>
    <row r="33" spans="3:20" outlineLevel="2" x14ac:dyDescent="0.2">
      <c r="E33" s="8"/>
    </row>
    <row r="34" spans="3:20" outlineLevel="2" x14ac:dyDescent="0.2">
      <c r="D34" s="4" t="str">
        <f>Input!D29</f>
        <v>Direct network operating costs</v>
      </c>
      <c r="E34" s="8" t="str">
        <f t="shared" si="6"/>
        <v>₦`m</v>
      </c>
      <c r="F34" s="108">
        <f>Scenarios!$F$31</f>
        <v>0</v>
      </c>
      <c r="P34" s="4">
        <f>(P$32*Input!P29)*(1+$F34)</f>
        <v>329584.57591006998</v>
      </c>
      <c r="Q34" s="4">
        <f>(Q$32*Input!Q29)*(1+$F34)</f>
        <v>383880.19876020012</v>
      </c>
      <c r="R34" s="4">
        <f>(R$32*Input!R29)*(1+$F34)</f>
        <v>467194.09198581538</v>
      </c>
      <c r="S34" s="4">
        <f>(S$32*Input!S29)*(1+$F34)</f>
        <v>517635.78394944908</v>
      </c>
      <c r="T34" s="4">
        <f>(T$32*Input!T29)*(1+$F34)</f>
        <v>548952.74887839076</v>
      </c>
    </row>
    <row r="35" spans="3:20" outlineLevel="2" x14ac:dyDescent="0.2">
      <c r="D35" s="4" t="str">
        <f>Input!D30</f>
        <v>Value added services</v>
      </c>
      <c r="E35" s="8" t="str">
        <f t="shared" si="6"/>
        <v>₦`m</v>
      </c>
      <c r="F35" s="108">
        <f>Scenarios!$F$31</f>
        <v>0</v>
      </c>
      <c r="P35" s="4">
        <f>(P$32*Input!P30)*(1+$F35)</f>
        <v>14913.329226699998</v>
      </c>
      <c r="Q35" s="4">
        <f>(Q$32*Input!Q30)*(1+$F35)</f>
        <v>16985.849502663721</v>
      </c>
      <c r="R35" s="4">
        <f>(R$32*Input!R30)*(1+$F35)</f>
        <v>28720.948277816518</v>
      </c>
      <c r="S35" s="4">
        <f>(S$32*Input!S30)*(1+$F35)</f>
        <v>31691.986772415246</v>
      </c>
      <c r="T35" s="4">
        <f>(T$32*Input!T30)*(1+$F35)</f>
        <v>33609.351972146367</v>
      </c>
    </row>
    <row r="36" spans="3:20" outlineLevel="2" x14ac:dyDescent="0.2">
      <c r="D36" s="4" t="str">
        <f>Input!D31</f>
        <v>Starter packs, handsets and accessories.</v>
      </c>
      <c r="E36" s="8" t="str">
        <f t="shared" si="6"/>
        <v>₦`m</v>
      </c>
      <c r="F36" s="108">
        <f>Scenarios!$F$31</f>
        <v>0</v>
      </c>
      <c r="P36" s="4">
        <f>(P$32*Input!P31)*(1+$F36)</f>
        <v>19387.327994709995</v>
      </c>
      <c r="Q36" s="4">
        <f>(Q$32*Input!Q31)*(1+$F36)</f>
        <v>23780.18930372921</v>
      </c>
      <c r="R36" s="4">
        <f>(R$32*Input!R31)*(1+$F36)</f>
        <v>30635.678163004286</v>
      </c>
      <c r="S36" s="4">
        <f>(S$32*Input!S31)*(1+$F36)</f>
        <v>33804.78589057627</v>
      </c>
      <c r="T36" s="4">
        <f>(T$32*Input!T31)*(1+$F36)</f>
        <v>35849.975436956134</v>
      </c>
    </row>
    <row r="37" spans="3:20" outlineLevel="2" x14ac:dyDescent="0.2">
      <c r="D37" s="4" t="str">
        <f>Input!D32</f>
        <v>Interconnect costs</v>
      </c>
      <c r="E37" s="8" t="str">
        <f t="shared" si="6"/>
        <v>₦`m</v>
      </c>
      <c r="F37" s="108">
        <f>Scenarios!$F$31</f>
        <v>0</v>
      </c>
      <c r="P37" s="4">
        <f>(P$32*Input!P32)*(1+$F37)</f>
        <v>129745.96427228997</v>
      </c>
      <c r="Q37" s="4">
        <f>(Q$32*Input!Q32)*(1+$F37)</f>
        <v>144379.72077264165</v>
      </c>
      <c r="R37" s="4">
        <f>(R$32*Input!R32)*(1+$F37)</f>
        <v>172325.6896668991</v>
      </c>
      <c r="S37" s="4">
        <f>(S$32*Input!S32)*(1+$F37)</f>
        <v>190151.92063449149</v>
      </c>
      <c r="T37" s="4">
        <f>(T$32*Input!T32)*(1+$F37)</f>
        <v>201656.11183287823</v>
      </c>
    </row>
    <row r="38" spans="3:20" outlineLevel="2" x14ac:dyDescent="0.2">
      <c r="D38" s="4" t="str">
        <f>Input!D33</f>
        <v>Roaming costs</v>
      </c>
      <c r="E38" s="8" t="str">
        <f t="shared" si="6"/>
        <v>₦`m</v>
      </c>
      <c r="F38" s="108">
        <f>Scenarios!$F$31</f>
        <v>0</v>
      </c>
      <c r="P38" s="4">
        <f>(P$32*Input!P33)*(1+$F38)</f>
        <v>4473.9987680099994</v>
      </c>
      <c r="Q38" s="4">
        <f>(Q$32*Input!Q33)*(1+$F38)</f>
        <v>5095.7548507991169</v>
      </c>
      <c r="R38" s="4">
        <f>(R$32*Input!R33)*(1+$F38)</f>
        <v>19147.29885187768</v>
      </c>
      <c r="S38" s="4">
        <f>(S$32*Input!S33)*(1+$F38)</f>
        <v>21127.991181610167</v>
      </c>
      <c r="T38" s="4">
        <f>(T$32*Input!T33)*(1+$F38)</f>
        <v>22406.234648097583</v>
      </c>
    </row>
    <row r="39" spans="3:20" outlineLevel="2" x14ac:dyDescent="0.2">
      <c r="D39" s="4" t="str">
        <f>Input!D34</f>
        <v>Transmission costs</v>
      </c>
      <c r="E39" s="8" t="str">
        <f t="shared" si="6"/>
        <v>₦`m</v>
      </c>
      <c r="F39" s="108">
        <f>Scenarios!$F$31</f>
        <v>0</v>
      </c>
      <c r="P39" s="4">
        <f>(P$32*Input!P34)*(1+$F39)</f>
        <v>7456.6646133499989</v>
      </c>
      <c r="Q39" s="4">
        <f>(Q$32*Input!Q34)*(1+$F39)</f>
        <v>8492.9247513318605</v>
      </c>
      <c r="R39" s="4">
        <f>(R$32*Input!R34)*(1+$F39)</f>
        <v>15317.839081502143</v>
      </c>
      <c r="S39" s="4">
        <f>(S$32*Input!S34)*(1+$F39)</f>
        <v>16902.392945288135</v>
      </c>
      <c r="T39" s="4">
        <f>(T$32*Input!T34)*(1+$F39)</f>
        <v>17924.987718478067</v>
      </c>
    </row>
    <row r="40" spans="3:20" outlineLevel="2" x14ac:dyDescent="0.2">
      <c r="D40" s="4" t="str">
        <f>Input!D35</f>
        <v>Discounts and commissions</v>
      </c>
      <c r="E40" s="8" t="str">
        <f t="shared" si="6"/>
        <v>₦`m</v>
      </c>
      <c r="F40" s="108">
        <f>Scenarios!$F$31</f>
        <v>0</v>
      </c>
      <c r="P40" s="4">
        <f>(P$32*Input!P35)*(1+$F40)</f>
        <v>74566.646133499991</v>
      </c>
      <c r="Q40" s="4">
        <f>(Q$32*Input!Q35)*(1+$F40)</f>
        <v>84929.247513318609</v>
      </c>
      <c r="R40" s="4">
        <f>(R$32*Input!R35)*(1+$F40)</f>
        <v>105310.14368532723</v>
      </c>
      <c r="S40" s="4">
        <f>(S$32*Input!S35)*(1+$F40)</f>
        <v>116203.95149885591</v>
      </c>
      <c r="T40" s="4">
        <f>(T$32*Input!T35)*(1+$F40)</f>
        <v>123234.2905645367</v>
      </c>
    </row>
    <row r="41" spans="3:20" ht="15" outlineLevel="2" x14ac:dyDescent="0.25">
      <c r="D41" s="46" t="s">
        <v>292</v>
      </c>
      <c r="E41" s="8" t="str">
        <f t="shared" si="6"/>
        <v>₦`m</v>
      </c>
      <c r="F41" s="108">
        <f>Scenarios!$F$31</f>
        <v>0</v>
      </c>
      <c r="P41" s="48">
        <f>SUM(P34:P40)</f>
        <v>580128.50691862998</v>
      </c>
      <c r="Q41" s="48">
        <f t="shared" ref="Q41:T41" si="8">(SUM(Q34:Q40))*(1+$F$41)</f>
        <v>667543.88545468426</v>
      </c>
      <c r="R41" s="48">
        <f t="shared" si="8"/>
        <v>838651.68971224246</v>
      </c>
      <c r="S41" s="48">
        <f t="shared" si="8"/>
        <v>927518.81287268631</v>
      </c>
      <c r="T41" s="48">
        <f t="shared" si="8"/>
        <v>983633.70105148386</v>
      </c>
    </row>
    <row r="42" spans="3:20" outlineLevel="2" x14ac:dyDescent="0.2">
      <c r="E42" s="8"/>
    </row>
    <row r="43" spans="3:20" ht="15.75" outlineLevel="1" x14ac:dyDescent="0.25">
      <c r="C43" s="3" t="s">
        <v>184</v>
      </c>
      <c r="D43" s="3"/>
      <c r="E43" s="29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</row>
    <row r="44" spans="3:20" outlineLevel="2" x14ac:dyDescent="0.2">
      <c r="D44" s="4" t="str">
        <f>D$18</f>
        <v>Total revenue</v>
      </c>
      <c r="E44" s="8" t="str">
        <f t="shared" ref="E44:E49" si="9">Currency</f>
        <v>₦`m</v>
      </c>
      <c r="P44" s="71">
        <f>P$18</f>
        <v>1491332.9226699998</v>
      </c>
      <c r="Q44" s="71">
        <f t="shared" ref="Q44:T44" si="10">Q$18</f>
        <v>1698584.9502663722</v>
      </c>
      <c r="R44" s="71">
        <f t="shared" si="10"/>
        <v>1914729.8851877679</v>
      </c>
      <c r="S44" s="71">
        <f t="shared" si="10"/>
        <v>2112799.1181610166</v>
      </c>
      <c r="T44" s="71">
        <f t="shared" si="10"/>
        <v>2240623.4648097581</v>
      </c>
    </row>
    <row r="45" spans="3:20" outlineLevel="2" x14ac:dyDescent="0.2">
      <c r="E45" s="8"/>
    </row>
    <row r="46" spans="3:20" outlineLevel="2" x14ac:dyDescent="0.2">
      <c r="D46" s="4" t="str">
        <f>Input!D38</f>
        <v>Advertisements, sponsorships and sales promotions</v>
      </c>
      <c r="E46" s="8" t="str">
        <f t="shared" si="9"/>
        <v>₦`m</v>
      </c>
      <c r="P46" s="4">
        <f>(P$44*Input!P38)*(1+$F47)</f>
        <v>20878.660917379999</v>
      </c>
      <c r="Q46" s="4">
        <f>(Q$44*Input!Q38)*(1+$F47)</f>
        <v>22081.604353462837</v>
      </c>
      <c r="R46" s="4">
        <f>(R$44*Input!R38)*(1+$F47)</f>
        <v>67015.545981571879</v>
      </c>
      <c r="S46" s="4">
        <f>(S$44*Input!S38)*(1+$F47)</f>
        <v>73947.969135635591</v>
      </c>
      <c r="T46" s="4">
        <f>(T$44*Input!T38)*(1+$F47)</f>
        <v>78421.821268341548</v>
      </c>
    </row>
    <row r="47" spans="3:20" outlineLevel="2" x14ac:dyDescent="0.2">
      <c r="D47" s="4" t="str">
        <f>Input!D39</f>
        <v>Employee costs</v>
      </c>
      <c r="E47" s="8" t="str">
        <f t="shared" si="9"/>
        <v>₦`m</v>
      </c>
      <c r="F47" s="108">
        <f>Scenarios!$F$32</f>
        <v>0</v>
      </c>
      <c r="P47" s="4">
        <f>(P$44*Input!P39)*(1+$F48)</f>
        <v>44739.987680099992</v>
      </c>
      <c r="Q47" s="4">
        <f>(Q$44*Input!Q39)*(1+$F48)</f>
        <v>54354.718408523913</v>
      </c>
      <c r="R47" s="4">
        <f>(R$44*Input!R39)*(1+$F48)</f>
        <v>95736.494259388404</v>
      </c>
      <c r="S47" s="4">
        <f>(S$44*Input!S39)*(1+$F48)</f>
        <v>105639.95590805083</v>
      </c>
      <c r="T47" s="4">
        <f>(T$44*Input!T39)*(1+$F48)</f>
        <v>112031.17324048791</v>
      </c>
    </row>
    <row r="48" spans="3:20" outlineLevel="2" x14ac:dyDescent="0.2">
      <c r="D48" s="4" t="str">
        <f>Input!D40</f>
        <v>Other operating expenses</v>
      </c>
      <c r="E48" s="8" t="str">
        <f t="shared" si="9"/>
        <v>₦`m</v>
      </c>
      <c r="F48" s="108">
        <f>Scenarios!$F$32</f>
        <v>0</v>
      </c>
      <c r="P48" s="4">
        <f>(P$44*Input!P40)*(1+$F49)</f>
        <v>70092.647365489989</v>
      </c>
      <c r="Q48" s="4">
        <f>(Q$44*Input!Q40)*(1+$F49)</f>
        <v>81532.07761278587</v>
      </c>
      <c r="R48" s="4">
        <f>(R$44*Input!R40)*(1+$F49)</f>
        <v>128286.90230758046</v>
      </c>
      <c r="S48" s="4">
        <f>(S$44*Input!S40)*(1+$F49)</f>
        <v>145783.13915311015</v>
      </c>
      <c r="T48" s="4">
        <f>(T$44*Input!T40)*(1+$F49)</f>
        <v>154603.01907187334</v>
      </c>
    </row>
    <row r="49" spans="3:20" ht="15" outlineLevel="2" x14ac:dyDescent="0.25">
      <c r="D49" s="46" t="s">
        <v>187</v>
      </c>
      <c r="E49" s="8" t="str">
        <f t="shared" si="9"/>
        <v>₦`m</v>
      </c>
      <c r="F49" s="108">
        <f>Scenarios!$F$32</f>
        <v>0</v>
      </c>
      <c r="P49" s="48">
        <f>SUM(P46:P48)</f>
        <v>135711.29596296998</v>
      </c>
      <c r="Q49" s="48">
        <f t="shared" ref="Q49:T49" si="11">SUM(Q46:Q48)</f>
        <v>157968.40037477261</v>
      </c>
      <c r="R49" s="48">
        <f t="shared" si="11"/>
        <v>291038.94254854077</v>
      </c>
      <c r="S49" s="48">
        <f t="shared" si="11"/>
        <v>325371.06419679656</v>
      </c>
      <c r="T49" s="48">
        <f t="shared" si="11"/>
        <v>345056.01358070283</v>
      </c>
    </row>
    <row r="50" spans="3:20" outlineLevel="2" x14ac:dyDescent="0.2">
      <c r="E50" s="8"/>
    </row>
    <row r="51" spans="3:20" ht="15.75" outlineLevel="1" x14ac:dyDescent="0.25">
      <c r="C51" s="3" t="s">
        <v>293</v>
      </c>
      <c r="D51" s="3"/>
      <c r="E51" s="29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3:20" outlineLevel="2" x14ac:dyDescent="0.2">
      <c r="D52" s="4" t="str">
        <f>Input!D48</f>
        <v>Other income</v>
      </c>
      <c r="E52" s="8" t="str">
        <f t="shared" ref="E52:E54" si="12">Currency</f>
        <v>₦`m</v>
      </c>
      <c r="P52" s="4">
        <f>Input!P48</f>
        <v>104</v>
      </c>
      <c r="Q52" s="4">
        <f>Input!Q48</f>
        <v>104</v>
      </c>
      <c r="R52" s="4">
        <f>Input!R48</f>
        <v>104</v>
      </c>
      <c r="S52" s="4">
        <f>Input!S48</f>
        <v>104</v>
      </c>
      <c r="T52" s="4">
        <f>Input!T48</f>
        <v>104</v>
      </c>
    </row>
    <row r="53" spans="3:20" outlineLevel="2" x14ac:dyDescent="0.2">
      <c r="D53" s="4" t="str">
        <f>Input!D49</f>
        <v>Net foreign exchange gain</v>
      </c>
      <c r="E53" s="8" t="str">
        <f t="shared" si="12"/>
        <v>₦`m</v>
      </c>
      <c r="P53" s="4">
        <f>Input!P49</f>
        <v>996.5</v>
      </c>
      <c r="Q53" s="4">
        <f>Input!Q49</f>
        <v>1135.75</v>
      </c>
      <c r="R53" s="4">
        <f>Input!R49</f>
        <v>1066.125</v>
      </c>
      <c r="S53" s="4">
        <f>Input!S49</f>
        <v>1100.9375</v>
      </c>
      <c r="T53" s="4">
        <f>Input!T49</f>
        <v>1083.53125</v>
      </c>
    </row>
    <row r="54" spans="3:20" outlineLevel="2" x14ac:dyDescent="0.2">
      <c r="D54" s="4" t="str">
        <f>Input!D50</f>
        <v>Net foreign exchange loss</v>
      </c>
      <c r="E54" s="8" t="str">
        <f t="shared" si="12"/>
        <v>₦`m</v>
      </c>
      <c r="P54" s="4">
        <f>Input!P50</f>
        <v>6580.5</v>
      </c>
      <c r="Q54" s="4">
        <f>Input!Q50</f>
        <v>8291.75</v>
      </c>
      <c r="R54" s="4">
        <f>Input!R50</f>
        <v>7436.125</v>
      </c>
      <c r="S54" s="4">
        <f>Input!S50</f>
        <v>7863.9375</v>
      </c>
      <c r="T54" s="4">
        <f>Input!T50</f>
        <v>7650.03125</v>
      </c>
    </row>
    <row r="55" spans="3:20" outlineLevel="2" x14ac:dyDescent="0.2">
      <c r="E55" s="8"/>
    </row>
    <row r="56" spans="3:20" ht="15.75" outlineLevel="1" x14ac:dyDescent="0.25">
      <c r="C56" s="3" t="s">
        <v>116</v>
      </c>
      <c r="D56" s="3"/>
      <c r="E56" s="29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</row>
    <row r="57" spans="3:20" outlineLevel="2" x14ac:dyDescent="0.2">
      <c r="D57" s="4" t="str">
        <f>Input!D53</f>
        <v>Taxation</v>
      </c>
      <c r="E57" s="8" t="str">
        <f>Input!E53</f>
        <v>%age</v>
      </c>
      <c r="P57" s="52">
        <f>Input!P53</f>
        <v>0.32</v>
      </c>
      <c r="Q57" s="52">
        <f>Input!Q53</f>
        <v>0.32</v>
      </c>
      <c r="R57" s="52">
        <f>Input!R53</f>
        <v>0.32</v>
      </c>
      <c r="S57" s="52">
        <f>Input!S53</f>
        <v>0.32</v>
      </c>
      <c r="T57" s="52">
        <f>Input!T53</f>
        <v>0.32</v>
      </c>
    </row>
    <row r="58" spans="3:20" outlineLevel="2" x14ac:dyDescent="0.2">
      <c r="D58" s="4" t="str">
        <f>Input!D54</f>
        <v>Provision for deferred tax (time diff.)</v>
      </c>
      <c r="E58" s="8" t="str">
        <f>Input!E54</f>
        <v>%age</v>
      </c>
      <c r="P58" s="52">
        <f>Input!P54</f>
        <v>0.05</v>
      </c>
      <c r="Q58" s="52">
        <f>Input!Q54</f>
        <v>0.05</v>
      </c>
      <c r="R58" s="52">
        <f>Input!R54</f>
        <v>0.05</v>
      </c>
      <c r="S58" s="52">
        <f>Input!S54</f>
        <v>0.05</v>
      </c>
      <c r="T58" s="52">
        <f>Input!T54</f>
        <v>0.05</v>
      </c>
    </row>
    <row r="59" spans="3:20" outlineLevel="2" x14ac:dyDescent="0.2">
      <c r="E59" s="8"/>
    </row>
    <row r="60" spans="3:20" outlineLevel="2" x14ac:dyDescent="0.2">
      <c r="D60" s="4" t="s">
        <v>294</v>
      </c>
      <c r="E60" s="8" t="str">
        <f t="shared" ref="E60:E64" si="13">Currency</f>
        <v>₦`m</v>
      </c>
      <c r="P60" s="4">
        <f>'P&amp;L'!P27</f>
        <v>429733.82908986678</v>
      </c>
      <c r="Q60" s="4">
        <f>'P&amp;L'!Q27</f>
        <v>506439.18940378394</v>
      </c>
      <c r="R60" s="4">
        <f>'P&amp;L'!R27</f>
        <v>357969.27526034031</v>
      </c>
      <c r="S60" s="4">
        <f>'P&amp;L'!S27</f>
        <v>445018.6140380943</v>
      </c>
      <c r="T60" s="4">
        <f>'P&amp;L'!T27</f>
        <v>551268.40805991751</v>
      </c>
    </row>
    <row r="61" spans="3:20" outlineLevel="2" x14ac:dyDescent="0.2">
      <c r="D61" s="4" t="s">
        <v>295</v>
      </c>
      <c r="E61" s="8" t="str">
        <f t="shared" si="13"/>
        <v>₦`m</v>
      </c>
      <c r="P61" s="4">
        <f>P60*P58</f>
        <v>21486.691454493339</v>
      </c>
      <c r="Q61" s="4">
        <f t="shared" ref="Q61:T61" si="14">Q60*Q58</f>
        <v>25321.959470189198</v>
      </c>
      <c r="R61" s="4">
        <f t="shared" si="14"/>
        <v>17898.463763017015</v>
      </c>
      <c r="S61" s="4">
        <f t="shared" si="14"/>
        <v>22250.930701904716</v>
      </c>
      <c r="T61" s="4">
        <f t="shared" si="14"/>
        <v>27563.420402995878</v>
      </c>
    </row>
    <row r="62" spans="3:20" ht="15" outlineLevel="2" x14ac:dyDescent="0.25">
      <c r="D62" s="46" t="s">
        <v>297</v>
      </c>
      <c r="E62" s="8" t="str">
        <f t="shared" si="13"/>
        <v>₦`m</v>
      </c>
      <c r="P62" s="48">
        <f>P60-P61</f>
        <v>408247.13763537345</v>
      </c>
      <c r="Q62" s="48">
        <f t="shared" ref="Q62:T62" si="15">Q60-Q61</f>
        <v>481117.22993359476</v>
      </c>
      <c r="R62" s="48">
        <f t="shared" si="15"/>
        <v>340070.81149732327</v>
      </c>
      <c r="S62" s="48">
        <f t="shared" si="15"/>
        <v>422767.6833361896</v>
      </c>
      <c r="T62" s="48">
        <f t="shared" si="15"/>
        <v>523704.98765692161</v>
      </c>
    </row>
    <row r="63" spans="3:20" outlineLevel="2" x14ac:dyDescent="0.2">
      <c r="E63" s="8"/>
    </row>
    <row r="64" spans="3:20" outlineLevel="2" x14ac:dyDescent="0.2">
      <c r="D64" s="4" t="s">
        <v>298</v>
      </c>
      <c r="E64" s="8" t="str">
        <f t="shared" si="13"/>
        <v>₦`m</v>
      </c>
      <c r="P64" s="4">
        <f>P57*P60</f>
        <v>137514.82530875737</v>
      </c>
      <c r="Q64" s="4">
        <f t="shared" ref="Q64:T64" si="16">Q57*Q60</f>
        <v>162060.54060921088</v>
      </c>
      <c r="R64" s="4">
        <f t="shared" si="16"/>
        <v>114550.1680833089</v>
      </c>
      <c r="S64" s="4">
        <f t="shared" si="16"/>
        <v>142405.95649219019</v>
      </c>
      <c r="T64" s="4">
        <f t="shared" si="16"/>
        <v>176405.8905791736</v>
      </c>
    </row>
    <row r="65" spans="2:20" outlineLevel="2" x14ac:dyDescent="0.2">
      <c r="E65" s="8"/>
    </row>
    <row r="66" spans="2:20" ht="15" outlineLevel="2" x14ac:dyDescent="0.25">
      <c r="D66" s="46" t="s">
        <v>299</v>
      </c>
      <c r="E66" s="8"/>
    </row>
    <row r="67" spans="2:20" outlineLevel="2" x14ac:dyDescent="0.2">
      <c r="D67" s="4" t="s">
        <v>300</v>
      </c>
      <c r="E67" s="8" t="str">
        <f t="shared" ref="E67:E71" si="17">Currency</f>
        <v>₦`m</v>
      </c>
      <c r="P67" s="4">
        <f>P62*P57</f>
        <v>130639.08404331951</v>
      </c>
      <c r="Q67" s="4">
        <f t="shared" ref="Q67:T67" si="18">Q62*Q57</f>
        <v>153957.51357875034</v>
      </c>
      <c r="R67" s="4">
        <f t="shared" si="18"/>
        <v>108822.65967914346</v>
      </c>
      <c r="S67" s="4">
        <f t="shared" si="18"/>
        <v>135285.65866758066</v>
      </c>
      <c r="T67" s="4">
        <f t="shared" si="18"/>
        <v>167585.59605021492</v>
      </c>
    </row>
    <row r="68" spans="2:20" outlineLevel="2" x14ac:dyDescent="0.2">
      <c r="D68" s="4" t="s">
        <v>301</v>
      </c>
      <c r="E68" s="8" t="str">
        <f t="shared" si="17"/>
        <v>₦`m</v>
      </c>
      <c r="P68" s="4">
        <f>P64-P67</f>
        <v>6875.7412654378568</v>
      </c>
      <c r="Q68" s="4">
        <f t="shared" ref="Q68:T68" si="19">Q64-Q67</f>
        <v>8103.0270304605365</v>
      </c>
      <c r="R68" s="4">
        <f t="shared" si="19"/>
        <v>5727.5084041654482</v>
      </c>
      <c r="S68" s="4">
        <f t="shared" si="19"/>
        <v>7120.2978246095299</v>
      </c>
      <c r="T68" s="4">
        <f t="shared" si="19"/>
        <v>8820.2945289586787</v>
      </c>
    </row>
    <row r="69" spans="2:20" ht="15" outlineLevel="2" x14ac:dyDescent="0.25">
      <c r="D69" s="46" t="s">
        <v>302</v>
      </c>
      <c r="E69" s="8" t="str">
        <f t="shared" si="17"/>
        <v>₦`m</v>
      </c>
      <c r="P69" s="48">
        <f>P67+P68</f>
        <v>137514.82530875737</v>
      </c>
      <c r="Q69" s="48">
        <f t="shared" ref="Q69:T69" si="20">Q67+Q68</f>
        <v>162060.54060921088</v>
      </c>
      <c r="R69" s="48">
        <f t="shared" si="20"/>
        <v>114550.1680833089</v>
      </c>
      <c r="S69" s="48">
        <f t="shared" si="20"/>
        <v>142405.95649219019</v>
      </c>
      <c r="T69" s="48">
        <f t="shared" si="20"/>
        <v>176405.8905791736</v>
      </c>
    </row>
    <row r="70" spans="2:20" outlineLevel="2" x14ac:dyDescent="0.2">
      <c r="E70" s="8"/>
    </row>
    <row r="71" spans="2:20" outlineLevel="2" x14ac:dyDescent="0.2">
      <c r="D71" s="4" t="str">
        <f>BS!D40</f>
        <v>Deferred tax</v>
      </c>
      <c r="E71" s="8" t="str">
        <f t="shared" si="17"/>
        <v>₦`m</v>
      </c>
      <c r="O71" s="71">
        <f>BS!O40</f>
        <v>113130</v>
      </c>
      <c r="P71" s="4">
        <f>O71+P68</f>
        <v>120005.74126543786</v>
      </c>
      <c r="Q71" s="4">
        <f t="shared" ref="Q71:T71" si="21">P71+Q68</f>
        <v>128108.76829589839</v>
      </c>
      <c r="R71" s="4">
        <f t="shared" si="21"/>
        <v>133836.27670006384</v>
      </c>
      <c r="S71" s="4">
        <f t="shared" si="21"/>
        <v>140956.57452467337</v>
      </c>
      <c r="T71" s="4">
        <f t="shared" si="21"/>
        <v>149776.86905363205</v>
      </c>
    </row>
    <row r="72" spans="2:20" outlineLevel="2" x14ac:dyDescent="0.2">
      <c r="E72" s="8"/>
    </row>
    <row r="73" spans="2:20" outlineLevel="2" x14ac:dyDescent="0.2">
      <c r="E73" s="8"/>
    </row>
    <row r="74" spans="2:20" ht="19.5" x14ac:dyDescent="0.3">
      <c r="B74" s="2" t="s">
        <v>303</v>
      </c>
      <c r="C74" s="2"/>
      <c r="D74" s="2"/>
      <c r="E74" s="28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2:20" ht="15.75" outlineLevel="1" x14ac:dyDescent="0.25">
      <c r="C75" s="3" t="s">
        <v>304</v>
      </c>
      <c r="D75" s="3"/>
      <c r="E75" s="29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</row>
    <row r="76" spans="2:20" ht="15" outlineLevel="2" x14ac:dyDescent="0.25">
      <c r="D76" s="72" t="str">
        <f>Input!D62</f>
        <v>Property and equipment</v>
      </c>
      <c r="E76" s="8"/>
    </row>
    <row r="77" spans="2:20" outlineLevel="2" x14ac:dyDescent="0.2">
      <c r="D77" s="4" t="s">
        <v>305</v>
      </c>
      <c r="E77" s="8" t="str">
        <f t="shared" ref="E77:E80" si="22">Currency</f>
        <v>₦`m</v>
      </c>
      <c r="P77" s="4">
        <f>O80</f>
        <v>686157</v>
      </c>
      <c r="Q77" s="4">
        <f t="shared" ref="Q77:T77" si="23">P80</f>
        <v>670310.00600000005</v>
      </c>
      <c r="R77" s="4">
        <f t="shared" si="23"/>
        <v>942404.85388500011</v>
      </c>
      <c r="S77" s="4">
        <f t="shared" si="23"/>
        <v>913382.11821744672</v>
      </c>
      <c r="T77" s="4">
        <f t="shared" si="23"/>
        <v>774923.52717710705</v>
      </c>
    </row>
    <row r="78" spans="2:20" outlineLevel="2" x14ac:dyDescent="0.2">
      <c r="D78" s="4" t="s">
        <v>306</v>
      </c>
      <c r="E78" s="8" t="str">
        <f t="shared" si="22"/>
        <v>₦`m</v>
      </c>
      <c r="P78" s="4">
        <f>(O79*Input!P63)+Input!P64</f>
        <v>150203</v>
      </c>
      <c r="Q78" s="4">
        <f>(P79*Input!Q63)+Input!Q64</f>
        <v>433639.55933100003</v>
      </c>
      <c r="R78" s="4">
        <f>(Q79*Input!R63)+Input!R64</f>
        <v>199039.23897261664</v>
      </c>
      <c r="S78" s="4">
        <f>(R79*Input!S63)+Input!S64</f>
        <v>82579.881568282493</v>
      </c>
      <c r="T78" s="4">
        <f>(S79*Input!T63)+Input!T64</f>
        <v>331219.98969278723</v>
      </c>
    </row>
    <row r="79" spans="2:20" outlineLevel="2" x14ac:dyDescent="0.2">
      <c r="D79" s="4" t="s">
        <v>307</v>
      </c>
      <c r="E79" s="8" t="str">
        <f t="shared" si="22"/>
        <v>₦`m</v>
      </c>
      <c r="O79" s="71">
        <f>'P&amp;L'!O66</f>
        <v>150203</v>
      </c>
      <c r="P79" s="4">
        <f>O80*Input!P43</f>
        <v>166049.99400000001</v>
      </c>
      <c r="Q79" s="4">
        <f>P80*Input!Q43</f>
        <v>161544.711446</v>
      </c>
      <c r="R79" s="4">
        <f>Q80*Input!R43</f>
        <v>228061.97464017002</v>
      </c>
      <c r="S79" s="4">
        <f>R80*Input!S43</f>
        <v>221038.47260862211</v>
      </c>
      <c r="T79" s="4">
        <f>S80*Input!T43</f>
        <v>187531.49357685991</v>
      </c>
    </row>
    <row r="80" spans="2:20" ht="15" outlineLevel="2" x14ac:dyDescent="0.25">
      <c r="D80" s="4" t="s">
        <v>308</v>
      </c>
      <c r="E80" s="8" t="str">
        <f t="shared" si="22"/>
        <v>₦`m</v>
      </c>
      <c r="O80" s="71">
        <f>BS!O14</f>
        <v>686157</v>
      </c>
      <c r="P80" s="48">
        <f>P77+P78-P79</f>
        <v>670310.00600000005</v>
      </c>
      <c r="Q80" s="48">
        <f t="shared" ref="Q80:T80" si="24">Q77+Q78-Q79</f>
        <v>942404.85388500011</v>
      </c>
      <c r="R80" s="48">
        <f t="shared" si="24"/>
        <v>913382.11821744672</v>
      </c>
      <c r="S80" s="48">
        <f t="shared" si="24"/>
        <v>774923.52717710705</v>
      </c>
      <c r="T80" s="48">
        <f t="shared" si="24"/>
        <v>918612.02329303429</v>
      </c>
    </row>
    <row r="81" spans="4:20" outlineLevel="2" x14ac:dyDescent="0.2">
      <c r="E81" s="8"/>
    </row>
    <row r="82" spans="4:20" ht="15" outlineLevel="2" x14ac:dyDescent="0.25">
      <c r="D82" s="72" t="str">
        <f>Input!D66</f>
        <v>Right of use assets</v>
      </c>
      <c r="E82" s="8"/>
    </row>
    <row r="83" spans="4:20" outlineLevel="2" x14ac:dyDescent="0.2">
      <c r="D83" s="4" t="s">
        <v>305</v>
      </c>
      <c r="E83" s="8" t="str">
        <f t="shared" ref="E83:E86" si="25">Currency</f>
        <v>₦`m</v>
      </c>
      <c r="P83" s="4">
        <f>O86</f>
        <v>595745</v>
      </c>
      <c r="Q83" s="4">
        <f t="shared" ref="Q83:T83" si="26">P86</f>
        <v>622593.38</v>
      </c>
      <c r="R83" s="4">
        <f t="shared" si="26"/>
        <v>601942.69780999993</v>
      </c>
      <c r="S83" s="4">
        <f t="shared" si="26"/>
        <v>632207.23411682202</v>
      </c>
      <c r="T83" s="4">
        <f t="shared" si="26"/>
        <v>643716.21778982878</v>
      </c>
    </row>
    <row r="84" spans="4:20" outlineLevel="2" x14ac:dyDescent="0.2">
      <c r="D84" s="4" t="s">
        <v>306</v>
      </c>
      <c r="E84" s="8" t="str">
        <f t="shared" si="25"/>
        <v>₦`m</v>
      </c>
      <c r="P84" s="4">
        <f>(O85*Input!P67)+Input!P68</f>
        <v>72125</v>
      </c>
      <c r="Q84" s="4">
        <f>(P85*Input!Q67)+Input!Q68</f>
        <v>50324.963129999989</v>
      </c>
      <c r="R84" s="4">
        <f>(Q85*Input!R67)+Input!R68</f>
        <v>87449.092598772011</v>
      </c>
      <c r="S84" s="4">
        <f>(R85*Input!S67)+Input!S68</f>
        <v>77890.743255273104</v>
      </c>
      <c r="T84" s="4">
        <f>(S85*Input!T67)+Input!T68</f>
        <v>99471.216323314744</v>
      </c>
    </row>
    <row r="85" spans="4:20" outlineLevel="2" x14ac:dyDescent="0.2">
      <c r="D85" s="4" t="s">
        <v>307</v>
      </c>
      <c r="E85" s="8" t="str">
        <f t="shared" si="25"/>
        <v>₦`m</v>
      </c>
      <c r="O85" s="71">
        <f>'P&amp;L'!O68</f>
        <v>72125</v>
      </c>
      <c r="P85" s="4">
        <f>O86*Input!P45</f>
        <v>45276.619999999995</v>
      </c>
      <c r="Q85" s="4">
        <f>P86*Input!Q45</f>
        <v>70975.645319999996</v>
      </c>
      <c r="R85" s="4">
        <f>Q86*Input!R45</f>
        <v>57184.556291949993</v>
      </c>
      <c r="S85" s="4">
        <f>R86*Input!S45</f>
        <v>66381.759582266313</v>
      </c>
      <c r="T85" s="4">
        <f>S86*Input!T45</f>
        <v>64371.621778982881</v>
      </c>
    </row>
    <row r="86" spans="4:20" ht="15" outlineLevel="2" x14ac:dyDescent="0.25">
      <c r="D86" s="4" t="s">
        <v>308</v>
      </c>
      <c r="E86" s="8" t="str">
        <f t="shared" si="25"/>
        <v>₦`m</v>
      </c>
      <c r="O86" s="71">
        <f>BS!O15</f>
        <v>595745</v>
      </c>
      <c r="P86" s="48">
        <f>P83+P84-P85</f>
        <v>622593.38</v>
      </c>
      <c r="Q86" s="48">
        <f t="shared" ref="Q86" si="27">Q83+Q84-Q85</f>
        <v>601942.69780999993</v>
      </c>
      <c r="R86" s="48">
        <f t="shared" ref="R86" si="28">R83+R84-R85</f>
        <v>632207.23411682202</v>
      </c>
      <c r="S86" s="48">
        <f t="shared" ref="S86" si="29">S83+S84-S85</f>
        <v>643716.21778982878</v>
      </c>
      <c r="T86" s="48">
        <f t="shared" ref="T86" si="30">T83+T84-T85</f>
        <v>678815.81233416055</v>
      </c>
    </row>
    <row r="87" spans="4:20" outlineLevel="2" x14ac:dyDescent="0.2">
      <c r="E87" s="8"/>
    </row>
    <row r="88" spans="4:20" ht="15" outlineLevel="2" x14ac:dyDescent="0.25">
      <c r="D88" s="72" t="str">
        <f>Input!D70</f>
        <v>Intangible assets</v>
      </c>
      <c r="E88" s="8"/>
    </row>
    <row r="89" spans="4:20" outlineLevel="2" x14ac:dyDescent="0.2">
      <c r="D89" s="4" t="s">
        <v>305</v>
      </c>
      <c r="E89" s="8" t="str">
        <f t="shared" ref="E89:E92" si="31">Currency</f>
        <v>₦`m</v>
      </c>
      <c r="P89" s="4">
        <f>O92</f>
        <v>111080</v>
      </c>
      <c r="Q89" s="4">
        <f t="shared" ref="Q89:T89" si="32">P92</f>
        <v>117009.84</v>
      </c>
      <c r="R89" s="4">
        <f t="shared" si="32"/>
        <v>117276.90774</v>
      </c>
      <c r="S89" s="4">
        <f t="shared" si="32"/>
        <v>125778.93486239998</v>
      </c>
      <c r="T89" s="4">
        <f t="shared" si="32"/>
        <v>135047.15881343649</v>
      </c>
    </row>
    <row r="90" spans="4:20" outlineLevel="2" x14ac:dyDescent="0.2">
      <c r="D90" s="4" t="s">
        <v>306</v>
      </c>
      <c r="E90" s="8" t="str">
        <f t="shared" si="31"/>
        <v>₦`m</v>
      </c>
      <c r="P90" s="4">
        <f>(O91*Input!P71)+Input!P72</f>
        <v>36699</v>
      </c>
      <c r="Q90" s="4">
        <f>(P91*Input!Q71)+Input!Q72</f>
        <v>34199.921340000001</v>
      </c>
      <c r="R90" s="4">
        <f>(Q91*Input!R71)+Input!R72</f>
        <v>41808.668920559998</v>
      </c>
      <c r="S90" s="4">
        <f>(R91*Input!S71)+Input!S72</f>
        <v>45366.778256545302</v>
      </c>
      <c r="T90" s="4">
        <f>(S91*Input!T71)+Input!T72</f>
        <v>54092.677369182791</v>
      </c>
    </row>
    <row r="91" spans="4:20" outlineLevel="2" x14ac:dyDescent="0.2">
      <c r="D91" s="4" t="s">
        <v>307</v>
      </c>
      <c r="E91" s="8" t="str">
        <f t="shared" si="31"/>
        <v>₦`m</v>
      </c>
      <c r="O91" s="71">
        <f>'P&amp;L'!O67</f>
        <v>36699</v>
      </c>
      <c r="P91" s="4">
        <f>O92*Input!P44</f>
        <v>30769.160000000003</v>
      </c>
      <c r="Q91" s="4">
        <f>P92*Input!Q44</f>
        <v>33932.853599999995</v>
      </c>
      <c r="R91" s="4">
        <f>Q92*Input!R44</f>
        <v>33306.641798159995</v>
      </c>
      <c r="S91" s="4">
        <f>R92*Input!S44</f>
        <v>36098.554305508791</v>
      </c>
      <c r="T91" s="4">
        <f>S92*Input!T44</f>
        <v>38623.487420642829</v>
      </c>
    </row>
    <row r="92" spans="4:20" ht="15" outlineLevel="2" x14ac:dyDescent="0.25">
      <c r="D92" s="4" t="s">
        <v>308</v>
      </c>
      <c r="E92" s="8" t="str">
        <f t="shared" si="31"/>
        <v>₦`m</v>
      </c>
      <c r="O92" s="71">
        <f>BS!O16</f>
        <v>111080</v>
      </c>
      <c r="P92" s="48">
        <f>P89+P90-P91</f>
        <v>117009.84</v>
      </c>
      <c r="Q92" s="48">
        <f t="shared" ref="Q92" si="33">Q89+Q90-Q91</f>
        <v>117276.90774</v>
      </c>
      <c r="R92" s="48">
        <f t="shared" ref="R92" si="34">R89+R90-R91</f>
        <v>125778.93486239998</v>
      </c>
      <c r="S92" s="48">
        <f t="shared" ref="S92" si="35">S89+S90-S91</f>
        <v>135047.15881343649</v>
      </c>
      <c r="T92" s="48">
        <f t="shared" ref="T92" si="36">T89+T90-T91</f>
        <v>150516.34876197643</v>
      </c>
    </row>
    <row r="93" spans="4:20" outlineLevel="2" x14ac:dyDescent="0.2">
      <c r="E93" s="8"/>
    </row>
    <row r="94" spans="4:20" ht="15" outlineLevel="2" x14ac:dyDescent="0.25">
      <c r="D94" s="72" t="str">
        <f>Input!D74</f>
        <v>Contract acquisition costs</v>
      </c>
      <c r="E94" s="8"/>
    </row>
    <row r="95" spans="4:20" outlineLevel="2" x14ac:dyDescent="0.2">
      <c r="D95" s="4" t="s">
        <v>305</v>
      </c>
      <c r="E95" s="8" t="str">
        <f t="shared" ref="E95:E98" si="37">Currency</f>
        <v>₦`m</v>
      </c>
      <c r="P95" s="4">
        <f>O98</f>
        <v>7990</v>
      </c>
      <c r="Q95" s="4">
        <f t="shared" ref="Q95:T95" si="38">P98</f>
        <v>6675.6173799015214</v>
      </c>
      <c r="R95" s="4">
        <f t="shared" si="38"/>
        <v>7603.334602803815</v>
      </c>
      <c r="S95" s="4">
        <f t="shared" si="38"/>
        <v>9427.9448241116588</v>
      </c>
      <c r="T95" s="4">
        <f t="shared" si="38"/>
        <v>10403.21857644189</v>
      </c>
    </row>
    <row r="96" spans="4:20" outlineLevel="2" x14ac:dyDescent="0.2">
      <c r="D96" s="4" t="s">
        <v>306</v>
      </c>
      <c r="E96" s="8" t="str">
        <f t="shared" si="37"/>
        <v>₦`m</v>
      </c>
      <c r="P96" s="4">
        <f>(P97+P98)-P95</f>
        <v>-515.38262009847858</v>
      </c>
      <c r="Q96" s="4">
        <f t="shared" ref="Q96:T96" si="39">(Q97+Q98)-Q95</f>
        <v>1595.278960892445</v>
      </c>
      <c r="R96" s="4">
        <f t="shared" si="39"/>
        <v>2584.9436815882245</v>
      </c>
      <c r="S96" s="4">
        <f t="shared" si="39"/>
        <v>1918.0682347413967</v>
      </c>
      <c r="T96" s="4">
        <f t="shared" si="39"/>
        <v>1669.7165815189237</v>
      </c>
    </row>
    <row r="97" spans="3:20" outlineLevel="2" x14ac:dyDescent="0.2">
      <c r="D97" s="4" t="s">
        <v>307</v>
      </c>
      <c r="E97" s="8" t="str">
        <f t="shared" si="37"/>
        <v>₦`m</v>
      </c>
      <c r="O97" s="71"/>
      <c r="P97" s="4">
        <f>O98*Input!P76</f>
        <v>799</v>
      </c>
      <c r="Q97" s="4">
        <f>P98*Input!Q76</f>
        <v>667.56173799015221</v>
      </c>
      <c r="R97" s="4">
        <f>Q98*Input!R76</f>
        <v>760.33346028038159</v>
      </c>
      <c r="S97" s="4">
        <f>R98*Input!S76</f>
        <v>942.79448241116597</v>
      </c>
      <c r="T97" s="4">
        <f>S98*Input!T76</f>
        <v>1040.3218576441891</v>
      </c>
    </row>
    <row r="98" spans="3:20" ht="15" outlineLevel="2" x14ac:dyDescent="0.25">
      <c r="D98" s="4" t="s">
        <v>308</v>
      </c>
      <c r="E98" s="8" t="str">
        <f t="shared" si="37"/>
        <v>₦`m</v>
      </c>
      <c r="O98" s="71">
        <f>BS!O17</f>
        <v>7990</v>
      </c>
      <c r="P98" s="48">
        <f>'P&amp;L'!P56/Input!P75</f>
        <v>6675.6173799015214</v>
      </c>
      <c r="Q98" s="48">
        <f>'P&amp;L'!Q56/Input!Q75</f>
        <v>7603.334602803815</v>
      </c>
      <c r="R98" s="48">
        <f>'P&amp;L'!R56/Input!R75</f>
        <v>9427.9448241116588</v>
      </c>
      <c r="S98" s="48">
        <f>'P&amp;L'!S56/Input!S75</f>
        <v>10403.21857644189</v>
      </c>
      <c r="T98" s="48">
        <f>'P&amp;L'!T56/Input!T75</f>
        <v>11032.613300316625</v>
      </c>
    </row>
    <row r="99" spans="3:20" outlineLevel="2" x14ac:dyDescent="0.2">
      <c r="E99" s="8"/>
    </row>
    <row r="100" spans="3:20" ht="15" outlineLevel="2" x14ac:dyDescent="0.25">
      <c r="D100" s="72" t="s">
        <v>207</v>
      </c>
      <c r="E100" s="8"/>
    </row>
    <row r="101" spans="3:20" outlineLevel="2" x14ac:dyDescent="0.2">
      <c r="D101" s="4" t="str">
        <f>Input!D78</f>
        <v>Investment</v>
      </c>
      <c r="E101" s="8" t="str">
        <f>Input!E78</f>
        <v>%age</v>
      </c>
      <c r="P101" s="52">
        <f>Input!P78</f>
        <v>1E-4</v>
      </c>
      <c r="Q101" s="52">
        <f>Input!Q78</f>
        <v>0.01</v>
      </c>
      <c r="R101" s="52">
        <f>Input!R78</f>
        <v>-0.05</v>
      </c>
      <c r="S101" s="52">
        <f>Input!S78</f>
        <v>0.01</v>
      </c>
      <c r="T101" s="52">
        <f>Input!T78</f>
        <v>-5.0000000000000001E-3</v>
      </c>
    </row>
    <row r="102" spans="3:20" outlineLevel="2" x14ac:dyDescent="0.2">
      <c r="D102" s="4" t="str">
        <f>BS!D18</f>
        <v>Investment</v>
      </c>
      <c r="E102" s="8"/>
      <c r="O102" s="71">
        <f>BS!O18</f>
        <v>172630</v>
      </c>
      <c r="P102" s="4">
        <f>O102*(1+P101)</f>
        <v>172647.26300000001</v>
      </c>
      <c r="Q102" s="4">
        <f t="shared" ref="Q102:T102" si="40">P102*(1+Q101)</f>
        <v>174373.73563000001</v>
      </c>
      <c r="R102" s="4">
        <f t="shared" si="40"/>
        <v>165655.04884850001</v>
      </c>
      <c r="S102" s="4">
        <f t="shared" si="40"/>
        <v>167311.599336985</v>
      </c>
      <c r="T102" s="4">
        <f t="shared" si="40"/>
        <v>166475.04134030009</v>
      </c>
    </row>
    <row r="103" spans="3:20" outlineLevel="2" x14ac:dyDescent="0.2">
      <c r="E103" s="8"/>
    </row>
    <row r="104" spans="3:20" ht="15.75" outlineLevel="1" x14ac:dyDescent="0.25">
      <c r="C104" s="3" t="s">
        <v>309</v>
      </c>
      <c r="D104" s="3"/>
      <c r="E104" s="29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</row>
    <row r="105" spans="3:20" ht="15" outlineLevel="2" x14ac:dyDescent="0.25">
      <c r="D105" s="72" t="s">
        <v>124</v>
      </c>
      <c r="E105" s="8"/>
    </row>
    <row r="106" spans="3:20" outlineLevel="2" x14ac:dyDescent="0.2">
      <c r="D106" s="4" t="str">
        <f>Input!D81</f>
        <v>Inventories</v>
      </c>
      <c r="E106" s="8" t="str">
        <f t="shared" ref="E106:E110" si="41">Currency</f>
        <v>₦`m</v>
      </c>
      <c r="O106" s="71">
        <f>BS!O21</f>
        <v>2158</v>
      </c>
      <c r="P106" s="4">
        <f>Input!P81*'P&amp;L'!P14</f>
        <v>2320.5140276745201</v>
      </c>
      <c r="Q106" s="4">
        <f>Input!Q81*'P&amp;L'!Q14</f>
        <v>2670.1755418187372</v>
      </c>
      <c r="R106" s="4">
        <f>Input!R81*'P&amp;L'!R14</f>
        <v>3354.60675884897</v>
      </c>
      <c r="S106" s="4">
        <f>Input!S81*'P&amp;L'!S14</f>
        <v>3710.0752514907454</v>
      </c>
      <c r="T106" s="4">
        <f>Input!T81*'P&amp;L'!T14</f>
        <v>3934.5348042059354</v>
      </c>
    </row>
    <row r="107" spans="3:20" outlineLevel="2" x14ac:dyDescent="0.2">
      <c r="D107" s="4" t="str">
        <f>Input!D82</f>
        <v>Trade receivables</v>
      </c>
      <c r="E107" s="8" t="str">
        <f t="shared" si="41"/>
        <v>₦`m</v>
      </c>
      <c r="O107" s="71">
        <f>BS!O22</f>
        <v>28969</v>
      </c>
      <c r="P107" s="4">
        <f>Input!P82*'P&amp;L'!P13</f>
        <v>37283.323066749996</v>
      </c>
      <c r="Q107" s="4">
        <f>Input!Q82*'P&amp;L'!Q13</f>
        <v>42464.623756659304</v>
      </c>
      <c r="R107" s="4">
        <f>Input!R82*'P&amp;L'!R13</f>
        <v>47868.247129694209</v>
      </c>
      <c r="S107" s="4">
        <f>Input!S82*'P&amp;L'!S13</f>
        <v>52819.977954025417</v>
      </c>
      <c r="T107" s="4">
        <f>Input!T82*'P&amp;L'!T13</f>
        <v>56015.586620243943</v>
      </c>
    </row>
    <row r="108" spans="3:20" outlineLevel="2" x14ac:dyDescent="0.2">
      <c r="D108" s="4" t="str">
        <f>Input!D83</f>
        <v>Other receivables</v>
      </c>
      <c r="E108" s="8" t="str">
        <f t="shared" si="41"/>
        <v>₦`m</v>
      </c>
      <c r="O108" s="71">
        <f>BS!O23</f>
        <v>3273</v>
      </c>
      <c r="P108" s="4">
        <f>Input!P83</f>
        <v>3273</v>
      </c>
      <c r="Q108" s="4">
        <f>Input!Q83</f>
        <v>3273</v>
      </c>
      <c r="R108" s="4">
        <f>Input!R83</f>
        <v>3273</v>
      </c>
      <c r="S108" s="4">
        <f>Input!S83</f>
        <v>3273</v>
      </c>
      <c r="T108" s="4">
        <f>Input!T83</f>
        <v>3273</v>
      </c>
    </row>
    <row r="109" spans="3:20" outlineLevel="2" x14ac:dyDescent="0.2">
      <c r="D109" s="4" t="str">
        <f>Input!D84</f>
        <v>Prepayments</v>
      </c>
      <c r="E109" s="8" t="str">
        <f t="shared" si="41"/>
        <v>₦`m</v>
      </c>
      <c r="O109" s="71">
        <f>BS!O24</f>
        <v>32430</v>
      </c>
      <c r="P109" s="4">
        <f>Input!P84*'P&amp;L'!P16</f>
        <v>33927.823990742494</v>
      </c>
      <c r="Q109" s="4">
        <f>Input!Q84*'P&amp;L'!Q16</f>
        <v>39492.100093693152</v>
      </c>
      <c r="R109" s="4">
        <f>Input!R84*'P&amp;L'!R16</f>
        <v>72759.735637135193</v>
      </c>
      <c r="S109" s="4">
        <f>Input!S84*'P&amp;L'!S16</f>
        <v>81342.766049199141</v>
      </c>
      <c r="T109" s="4">
        <f>Input!T84*'P&amp;L'!T16</f>
        <v>86264.003395175707</v>
      </c>
    </row>
    <row r="110" spans="3:20" ht="15" outlineLevel="2" x14ac:dyDescent="0.25">
      <c r="D110" s="46" t="s">
        <v>162</v>
      </c>
      <c r="E110" s="8" t="str">
        <f t="shared" si="41"/>
        <v>₦`m</v>
      </c>
      <c r="O110" s="48">
        <f t="shared" ref="O110:T110" si="42">SUM(O106:O109)</f>
        <v>66830</v>
      </c>
      <c r="P110" s="48">
        <f t="shared" si="42"/>
        <v>76804.661085167012</v>
      </c>
      <c r="Q110" s="48">
        <f t="shared" si="42"/>
        <v>87899.899392171195</v>
      </c>
      <c r="R110" s="48">
        <f t="shared" si="42"/>
        <v>127255.58952567837</v>
      </c>
      <c r="S110" s="48">
        <f t="shared" si="42"/>
        <v>141145.81925471529</v>
      </c>
      <c r="T110" s="48">
        <f t="shared" si="42"/>
        <v>149487.12481962558</v>
      </c>
    </row>
    <row r="111" spans="3:20" ht="15" outlineLevel="2" x14ac:dyDescent="0.25">
      <c r="D111" s="72" t="s">
        <v>146</v>
      </c>
      <c r="E111" s="8"/>
    </row>
    <row r="112" spans="3:20" customFormat="1" outlineLevel="2" x14ac:dyDescent="0.2">
      <c r="D112" t="str">
        <f>Input!D94</f>
        <v>Share based payment liability</v>
      </c>
      <c r="E112" s="8" t="str">
        <f t="shared" ref="E112:E113" si="43">Currency</f>
        <v>₦`m</v>
      </c>
      <c r="N112" s="4"/>
      <c r="O112" s="71">
        <f>BS!O41</f>
        <v>2273</v>
      </c>
      <c r="P112">
        <f>Input!P94</f>
        <v>2273</v>
      </c>
      <c r="Q112" s="4">
        <f>Input!Q94</f>
        <v>2273</v>
      </c>
      <c r="R112" s="4">
        <f>Input!R94</f>
        <v>2273</v>
      </c>
      <c r="S112" s="4">
        <f>Input!S94</f>
        <v>2273</v>
      </c>
      <c r="T112" s="4">
        <f>Input!T94</f>
        <v>2273</v>
      </c>
    </row>
    <row r="113" spans="3:20" customFormat="1" outlineLevel="2" x14ac:dyDescent="0.2">
      <c r="D113" s="4" t="str">
        <f>Input!D95</f>
        <v>Employee benefits</v>
      </c>
      <c r="E113" s="8" t="str">
        <f t="shared" si="43"/>
        <v>₦`m</v>
      </c>
      <c r="N113" s="4"/>
      <c r="O113" s="71">
        <f>BS!O42</f>
        <v>8261</v>
      </c>
      <c r="P113">
        <f>Input!P95*'P&amp;L'!P61</f>
        <v>8142.6777577781986</v>
      </c>
      <c r="Q113" s="4">
        <f>Input!Q95*'P&amp;L'!Q61</f>
        <v>9892.5587503513525</v>
      </c>
      <c r="R113" s="4">
        <f>Input!R95*'P&amp;L'!R61</f>
        <v>17424.04195520869</v>
      </c>
      <c r="S113" s="4">
        <f>Input!S95*'P&amp;L'!S61</f>
        <v>19226.471975265253</v>
      </c>
      <c r="T113" s="4">
        <f>Input!T95*'P&amp;L'!T61</f>
        <v>20389.673529768799</v>
      </c>
    </row>
    <row r="114" spans="3:20" outlineLevel="2" x14ac:dyDescent="0.2">
      <c r="D114" s="4" t="str">
        <f>Input!D98</f>
        <v>Trade payables</v>
      </c>
      <c r="E114" s="8" t="str">
        <f t="shared" ref="E114:E124" si="44">Currency</f>
        <v>₦`m</v>
      </c>
      <c r="O114" s="71">
        <f>BS!O45</f>
        <v>94858</v>
      </c>
      <c r="P114" s="4">
        <f>Input!P98*'P&amp;L'!P14</f>
        <v>103262.87423151614</v>
      </c>
      <c r="Q114" s="4">
        <f>Input!Q98*'P&amp;L'!Q14</f>
        <v>118822.81161093379</v>
      </c>
      <c r="R114" s="4">
        <f>Input!R98*'P&amp;L'!R14</f>
        <v>149280.00076877914</v>
      </c>
      <c r="S114" s="4">
        <f>Input!S98*'P&amp;L'!S14</f>
        <v>165098.34869133815</v>
      </c>
      <c r="T114" s="4">
        <f>Input!T98*'P&amp;L'!T14</f>
        <v>175086.79878716412</v>
      </c>
    </row>
    <row r="115" spans="3:20" outlineLevel="2" x14ac:dyDescent="0.2">
      <c r="D115" s="4" t="str">
        <f>Input!D99</f>
        <v>Other accrued expenses</v>
      </c>
      <c r="E115" s="8" t="str">
        <f t="shared" si="44"/>
        <v>₦`m</v>
      </c>
      <c r="O115" s="71">
        <f>BS!O46</f>
        <v>171477</v>
      </c>
      <c r="P115" s="4">
        <f>Input!P99</f>
        <v>171477</v>
      </c>
      <c r="Q115" s="4">
        <f>Input!Q99</f>
        <v>171477</v>
      </c>
      <c r="R115" s="4">
        <f>Input!R99</f>
        <v>171477</v>
      </c>
      <c r="S115" s="4">
        <f>Input!S99</f>
        <v>171477</v>
      </c>
      <c r="T115" s="4">
        <f>Input!T99</f>
        <v>171477</v>
      </c>
    </row>
    <row r="116" spans="3:20" outlineLevel="2" x14ac:dyDescent="0.2">
      <c r="D116" s="4" t="str">
        <f>Input!D101</f>
        <v>Accrued staff expenses</v>
      </c>
      <c r="E116" s="8" t="str">
        <f t="shared" si="44"/>
        <v>₦`m</v>
      </c>
      <c r="O116" s="71">
        <f>BS!O48</f>
        <v>15702</v>
      </c>
      <c r="P116" s="4">
        <f>Input!P101*'P&amp;L'!P16</f>
        <v>16828.200699408277</v>
      </c>
      <c r="Q116" s="4">
        <f>Input!Q101*'P&amp;L'!Q16</f>
        <v>19588.081646471805</v>
      </c>
      <c r="R116" s="4">
        <f>Input!R101*'P&amp;L'!R16</f>
        <v>36088.828876019055</v>
      </c>
      <c r="S116" s="4">
        <f>Input!S101*'P&amp;L'!S16</f>
        <v>40346.011960402771</v>
      </c>
      <c r="T116" s="4">
        <f>Input!T101*'P&amp;L'!T16</f>
        <v>42786.945684007151</v>
      </c>
    </row>
    <row r="117" spans="3:20" outlineLevel="2" x14ac:dyDescent="0.2">
      <c r="D117" s="4" t="str">
        <f>Input!D102</f>
        <v xml:space="preserve">Value added tax </v>
      </c>
      <c r="E117" s="8" t="str">
        <f t="shared" si="44"/>
        <v>₦`m</v>
      </c>
      <c r="O117" s="71">
        <f>BS!O49</f>
        <v>21333</v>
      </c>
      <c r="P117" s="4">
        <f>Input!P102*'P&amp;L'!P27</f>
        <v>30511.101865380537</v>
      </c>
      <c r="Q117" s="4">
        <f>Input!Q102*'P&amp;L'!Q27</f>
        <v>35957.18244766866</v>
      </c>
      <c r="R117" s="4">
        <f>Input!R102*'P&amp;L'!R27</f>
        <v>25415.818543484158</v>
      </c>
      <c r="S117" s="4">
        <f>Input!S102*'P&amp;L'!S27</f>
        <v>31596.321596704693</v>
      </c>
      <c r="T117" s="4">
        <f>Input!T102*'P&amp;L'!T27</f>
        <v>39140.05697225414</v>
      </c>
    </row>
    <row r="118" spans="3:20" outlineLevel="2" x14ac:dyDescent="0.2">
      <c r="D118" s="4" t="str">
        <f>Input!D103</f>
        <v>Derivatives</v>
      </c>
      <c r="E118" s="8" t="str">
        <f t="shared" si="44"/>
        <v>₦`m</v>
      </c>
      <c r="O118" s="71">
        <f>BS!O50</f>
        <v>194</v>
      </c>
      <c r="P118" s="4">
        <f>Input!P103</f>
        <v>194</v>
      </c>
      <c r="Q118" s="4">
        <f>Input!Q103</f>
        <v>194</v>
      </c>
      <c r="R118" s="4">
        <f>Input!R103</f>
        <v>194</v>
      </c>
      <c r="S118" s="4">
        <f>Input!S103</f>
        <v>194</v>
      </c>
      <c r="T118" s="4">
        <f>Input!T103</f>
        <v>194</v>
      </c>
    </row>
    <row r="119" spans="3:20" outlineLevel="2" x14ac:dyDescent="0.2">
      <c r="D119" s="4" t="str">
        <f>Input!D104</f>
        <v>Contract liabilities</v>
      </c>
      <c r="E119" s="8" t="str">
        <f t="shared" si="44"/>
        <v>₦`m</v>
      </c>
      <c r="O119" s="71">
        <f>BS!O51</f>
        <v>62301</v>
      </c>
      <c r="P119" s="4">
        <f>Input!P104*'P&amp;L'!P13</f>
        <v>68601.314442819988</v>
      </c>
      <c r="Q119" s="4">
        <f>Input!Q104*'P&amp;L'!Q13</f>
        <v>78134.907712253116</v>
      </c>
      <c r="R119" s="4">
        <f>Input!R104*'P&amp;L'!R13</f>
        <v>88077.574718637334</v>
      </c>
      <c r="S119" s="4">
        <f>Input!S104*'P&amp;L'!S13</f>
        <v>97188.75943540677</v>
      </c>
      <c r="T119" s="4">
        <f>Input!T104*'P&amp;L'!T13</f>
        <v>103068.67938124885</v>
      </c>
    </row>
    <row r="120" spans="3:20" outlineLevel="2" x14ac:dyDescent="0.2">
      <c r="D120" s="4" t="str">
        <f>Input!D105</f>
        <v>Current tax payable</v>
      </c>
      <c r="E120" s="8" t="str">
        <f t="shared" si="44"/>
        <v>₦`m</v>
      </c>
      <c r="O120" s="71">
        <f>BS!O52</f>
        <v>107310</v>
      </c>
      <c r="P120" s="4">
        <f>Input!P105*'P&amp;L'!P27</f>
        <v>154274.44464326216</v>
      </c>
      <c r="Q120" s="4">
        <f>Input!Q105*'P&amp;L'!Q27</f>
        <v>181811.66899595843</v>
      </c>
      <c r="R120" s="4">
        <f>Input!R105*'P&amp;L'!R27</f>
        <v>128510.96981846217</v>
      </c>
      <c r="S120" s="4">
        <f>Input!S105*'P&amp;L'!S27</f>
        <v>159761.68243967585</v>
      </c>
      <c r="T120" s="4">
        <f>Input!T105*'P&amp;L'!T27</f>
        <v>197905.35849351037</v>
      </c>
    </row>
    <row r="121" spans="3:20" outlineLevel="2" x14ac:dyDescent="0.2">
      <c r="D121" s="4" t="str">
        <f>Input!D106</f>
        <v>Provisions</v>
      </c>
      <c r="E121" s="8" t="str">
        <f t="shared" si="44"/>
        <v>₦`m</v>
      </c>
      <c r="O121" s="71">
        <f>BS!O53</f>
        <v>24771</v>
      </c>
      <c r="P121" s="4">
        <f>Input!P106</f>
        <v>24771</v>
      </c>
      <c r="Q121" s="4">
        <f>Input!Q106</f>
        <v>24771</v>
      </c>
      <c r="R121" s="4">
        <f>Input!R106</f>
        <v>24771</v>
      </c>
      <c r="S121" s="4">
        <f>Input!S106</f>
        <v>24771</v>
      </c>
      <c r="T121" s="4">
        <f>Input!T106</f>
        <v>24771</v>
      </c>
    </row>
    <row r="122" spans="3:20" ht="15" outlineLevel="2" x14ac:dyDescent="0.25">
      <c r="D122" s="46" t="s">
        <v>165</v>
      </c>
      <c r="E122" s="8" t="str">
        <f t="shared" si="44"/>
        <v>₦`m</v>
      </c>
      <c r="O122" s="48">
        <f t="shared" ref="O122:T122" si="45">SUM(O112:O121)</f>
        <v>508480</v>
      </c>
      <c r="P122" s="48">
        <f t="shared" si="45"/>
        <v>580335.61364016531</v>
      </c>
      <c r="Q122" s="48">
        <f t="shared" si="45"/>
        <v>642922.21116363723</v>
      </c>
      <c r="R122" s="48">
        <f t="shared" si="45"/>
        <v>643512.23468059057</v>
      </c>
      <c r="S122" s="48">
        <f t="shared" si="45"/>
        <v>711932.59609879344</v>
      </c>
      <c r="T122" s="48">
        <f t="shared" si="45"/>
        <v>777092.51284795348</v>
      </c>
    </row>
    <row r="123" spans="3:20" ht="15" outlineLevel="2" x14ac:dyDescent="0.25">
      <c r="D123" s="46" t="s">
        <v>310</v>
      </c>
      <c r="E123" s="8" t="str">
        <f t="shared" si="44"/>
        <v>₦`m</v>
      </c>
      <c r="O123" s="48">
        <f t="shared" ref="O123:T123" si="46">O110-O122</f>
        <v>-441650</v>
      </c>
      <c r="P123" s="48">
        <f t="shared" si="46"/>
        <v>-503530.95255499828</v>
      </c>
      <c r="Q123" s="48">
        <f t="shared" si="46"/>
        <v>-555022.31177146605</v>
      </c>
      <c r="R123" s="48">
        <f t="shared" si="46"/>
        <v>-516256.6451549122</v>
      </c>
      <c r="S123" s="48">
        <f t="shared" si="46"/>
        <v>-570786.77684407821</v>
      </c>
      <c r="T123" s="48">
        <f t="shared" si="46"/>
        <v>-627605.38802832784</v>
      </c>
    </row>
    <row r="124" spans="3:20" outlineLevel="2" x14ac:dyDescent="0.2">
      <c r="D124" s="4" t="s">
        <v>311</v>
      </c>
      <c r="E124" s="8" t="str">
        <f t="shared" si="44"/>
        <v>₦`m</v>
      </c>
      <c r="P124" s="4">
        <f>O123-P123</f>
        <v>61880.952554998279</v>
      </c>
      <c r="Q124" s="4">
        <f>P123-Q123</f>
        <v>51491.359216467768</v>
      </c>
      <c r="R124" s="4">
        <f>Q123-R123</f>
        <v>-38765.666616553848</v>
      </c>
      <c r="S124" s="4">
        <f>R123-S123</f>
        <v>54530.13168916601</v>
      </c>
      <c r="T124" s="4">
        <f>S123-T123</f>
        <v>56818.611184249632</v>
      </c>
    </row>
    <row r="125" spans="3:20" outlineLevel="2" x14ac:dyDescent="0.2">
      <c r="E125" s="8"/>
    </row>
    <row r="126" spans="3:20" outlineLevel="2" x14ac:dyDescent="0.2">
      <c r="E126" s="8"/>
    </row>
    <row r="127" spans="3:20" ht="15.75" outlineLevel="1" x14ac:dyDescent="0.25">
      <c r="C127" s="3" t="s">
        <v>312</v>
      </c>
      <c r="D127" s="3"/>
      <c r="E127" s="29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</row>
    <row r="128" spans="3:20" ht="15" outlineLevel="2" x14ac:dyDescent="0.25">
      <c r="D128" s="72" t="str">
        <f>Input!D88</f>
        <v>Share capital</v>
      </c>
      <c r="E128" s="8"/>
    </row>
    <row r="129" spans="4:20" outlineLevel="2" x14ac:dyDescent="0.2">
      <c r="D129" s="4" t="s">
        <v>305</v>
      </c>
      <c r="E129" s="8" t="str">
        <f t="shared" ref="E129:E131" si="47">Currency</f>
        <v>₦`m</v>
      </c>
      <c r="P129" s="4">
        <f>O131</f>
        <v>407</v>
      </c>
      <c r="Q129" s="4">
        <f>P131</f>
        <v>407</v>
      </c>
      <c r="R129" s="4">
        <f>Q131</f>
        <v>407</v>
      </c>
      <c r="S129" s="4">
        <f>R131</f>
        <v>407</v>
      </c>
      <c r="T129" s="4">
        <f>S131</f>
        <v>407</v>
      </c>
    </row>
    <row r="130" spans="4:20" outlineLevel="2" x14ac:dyDescent="0.2">
      <c r="D130" s="4" t="s">
        <v>313</v>
      </c>
      <c r="E130" s="8" t="str">
        <f t="shared" si="47"/>
        <v>₦`m</v>
      </c>
      <c r="P130" s="4">
        <f>Input!P88-Input!O88</f>
        <v>0</v>
      </c>
      <c r="Q130" s="4">
        <f>Input!Q88-Input!P88</f>
        <v>0</v>
      </c>
      <c r="R130" s="4">
        <f>Input!R88-Input!Q88</f>
        <v>0</v>
      </c>
      <c r="S130" s="4">
        <f>Input!S88-Input!R88</f>
        <v>0</v>
      </c>
      <c r="T130" s="4">
        <f>Input!T88-Input!S88</f>
        <v>0</v>
      </c>
    </row>
    <row r="131" spans="4:20" ht="15.75" outlineLevel="2" thickBot="1" x14ac:dyDescent="0.3">
      <c r="D131" s="4" t="s">
        <v>308</v>
      </c>
      <c r="E131" s="8" t="str">
        <f t="shared" si="47"/>
        <v>₦`m</v>
      </c>
      <c r="O131" s="71">
        <f>BS!O31</f>
        <v>407</v>
      </c>
      <c r="P131" s="73">
        <f>P129+P130</f>
        <v>407</v>
      </c>
      <c r="Q131" s="73">
        <f>Q129+Q130</f>
        <v>407</v>
      </c>
      <c r="R131" s="73">
        <f>R129+R130</f>
        <v>407</v>
      </c>
      <c r="S131" s="73">
        <f>S129+S130</f>
        <v>407</v>
      </c>
      <c r="T131" s="73">
        <f>T129+T130</f>
        <v>407</v>
      </c>
    </row>
    <row r="132" spans="4:20" ht="15" outlineLevel="2" thickTop="1" x14ac:dyDescent="0.2">
      <c r="E132" s="8"/>
    </row>
    <row r="133" spans="4:20" ht="15" outlineLevel="2" x14ac:dyDescent="0.25">
      <c r="D133" s="72" t="str">
        <f>Input!D89</f>
        <v>Share premium</v>
      </c>
      <c r="E133" s="8"/>
    </row>
    <row r="134" spans="4:20" outlineLevel="2" x14ac:dyDescent="0.2">
      <c r="D134" s="4" t="s">
        <v>305</v>
      </c>
      <c r="E134" s="8" t="str">
        <f t="shared" ref="E134:E136" si="48">Currency</f>
        <v>₦`m</v>
      </c>
      <c r="P134" s="4">
        <f>O136</f>
        <v>17216</v>
      </c>
      <c r="Q134" s="4">
        <f>P136</f>
        <v>17216</v>
      </c>
      <c r="R134" s="4">
        <f>Q136</f>
        <v>17216</v>
      </c>
      <c r="S134" s="4">
        <f>R136</f>
        <v>17216</v>
      </c>
      <c r="T134" s="4">
        <f>S136</f>
        <v>17216</v>
      </c>
    </row>
    <row r="135" spans="4:20" outlineLevel="2" x14ac:dyDescent="0.2">
      <c r="D135" s="4" t="s">
        <v>313</v>
      </c>
      <c r="E135" s="8" t="str">
        <f t="shared" si="48"/>
        <v>₦`m</v>
      </c>
      <c r="P135" s="4">
        <f>Input!P89-Input!O89</f>
        <v>0</v>
      </c>
      <c r="Q135" s="4">
        <f>Input!Q89-Input!P89</f>
        <v>0</v>
      </c>
      <c r="R135" s="4">
        <f>Input!R89-Input!Q89</f>
        <v>0</v>
      </c>
      <c r="S135" s="4">
        <f>Input!S89-Input!R89</f>
        <v>0</v>
      </c>
      <c r="T135" s="4">
        <f>Input!T89-Input!S89</f>
        <v>0</v>
      </c>
    </row>
    <row r="136" spans="4:20" ht="15.75" outlineLevel="2" thickBot="1" x14ac:dyDescent="0.3">
      <c r="D136" s="4" t="s">
        <v>308</v>
      </c>
      <c r="E136" s="8" t="str">
        <f t="shared" si="48"/>
        <v>₦`m</v>
      </c>
      <c r="O136" s="71">
        <f>BS!O32</f>
        <v>17216</v>
      </c>
      <c r="P136" s="73">
        <f>P134+P135</f>
        <v>17216</v>
      </c>
      <c r="Q136" s="73">
        <f t="shared" ref="Q136" si="49">Q134+Q135</f>
        <v>17216</v>
      </c>
      <c r="R136" s="73">
        <f t="shared" ref="R136" si="50">R134+R135</f>
        <v>17216</v>
      </c>
      <c r="S136" s="73">
        <f t="shared" ref="S136" si="51">S134+S135</f>
        <v>17216</v>
      </c>
      <c r="T136" s="73">
        <f t="shared" ref="T136" si="52">T134+T135</f>
        <v>17216</v>
      </c>
    </row>
    <row r="137" spans="4:20" ht="15" outlineLevel="2" thickTop="1" x14ac:dyDescent="0.2">
      <c r="E137" s="8"/>
    </row>
    <row r="138" spans="4:20" ht="15" outlineLevel="2" x14ac:dyDescent="0.25">
      <c r="D138" s="72" t="str">
        <f>Input!D90</f>
        <v>Other reserves</v>
      </c>
      <c r="E138" s="8"/>
    </row>
    <row r="139" spans="4:20" outlineLevel="2" x14ac:dyDescent="0.2">
      <c r="D139" s="4" t="s">
        <v>305</v>
      </c>
      <c r="E139" s="8" t="str">
        <f t="shared" ref="E139:E141" si="53">Currency</f>
        <v>₦`m</v>
      </c>
      <c r="P139" s="4">
        <f>O141</f>
        <v>239</v>
      </c>
      <c r="Q139" s="4">
        <f>P141</f>
        <v>239</v>
      </c>
      <c r="R139" s="4">
        <f>Q141</f>
        <v>239</v>
      </c>
      <c r="S139" s="4">
        <f>R141</f>
        <v>239</v>
      </c>
      <c r="T139" s="4">
        <f>S141</f>
        <v>239</v>
      </c>
    </row>
    <row r="140" spans="4:20" outlineLevel="2" x14ac:dyDescent="0.2">
      <c r="D140" s="4" t="s">
        <v>313</v>
      </c>
      <c r="E140" s="8" t="str">
        <f t="shared" si="53"/>
        <v>₦`m</v>
      </c>
      <c r="P140" s="4">
        <f>Input!P90-Input!O90</f>
        <v>0</v>
      </c>
      <c r="Q140" s="4">
        <f>Input!Q90-Input!P90</f>
        <v>0</v>
      </c>
      <c r="R140" s="4">
        <f>Input!R90-Input!Q90</f>
        <v>0</v>
      </c>
      <c r="S140" s="4">
        <f>Input!S90-Input!R90</f>
        <v>0</v>
      </c>
      <c r="T140" s="4">
        <f>Input!T90-Input!S90</f>
        <v>0</v>
      </c>
    </row>
    <row r="141" spans="4:20" ht="15.75" outlineLevel="2" thickBot="1" x14ac:dyDescent="0.3">
      <c r="D141" s="4" t="s">
        <v>308</v>
      </c>
      <c r="E141" s="8" t="str">
        <f t="shared" si="53"/>
        <v>₦`m</v>
      </c>
      <c r="O141" s="71">
        <f>BS!O33</f>
        <v>239</v>
      </c>
      <c r="P141" s="73">
        <f>P139+P140</f>
        <v>239</v>
      </c>
      <c r="Q141" s="73">
        <f t="shared" ref="Q141" si="54">Q139+Q140</f>
        <v>239</v>
      </c>
      <c r="R141" s="73">
        <f t="shared" ref="R141" si="55">R139+R140</f>
        <v>239</v>
      </c>
      <c r="S141" s="73">
        <f t="shared" ref="S141" si="56">S139+S140</f>
        <v>239</v>
      </c>
      <c r="T141" s="73">
        <f t="shared" ref="T141" si="57">T139+T140</f>
        <v>239</v>
      </c>
    </row>
    <row r="142" spans="4:20" ht="15" outlineLevel="2" thickTop="1" x14ac:dyDescent="0.2">
      <c r="E142" s="8"/>
    </row>
    <row r="143" spans="4:20" ht="15" outlineLevel="2" x14ac:dyDescent="0.25">
      <c r="D143" s="72" t="str">
        <f>Input!D100</f>
        <v>Dividends payables</v>
      </c>
      <c r="E143" s="8"/>
    </row>
    <row r="144" spans="4:20" outlineLevel="2" x14ac:dyDescent="0.2">
      <c r="D144" s="4" t="s">
        <v>305</v>
      </c>
      <c r="E144" s="8" t="str">
        <f t="shared" ref="E144:E146" si="58">Currency</f>
        <v>₦`m</v>
      </c>
      <c r="P144" s="4">
        <f>O146</f>
        <v>607</v>
      </c>
      <c r="Q144" s="4">
        <f>P146</f>
        <v>897.28423513964185</v>
      </c>
      <c r="R144" s="4">
        <f>Q146</f>
        <v>1057.4450274751007</v>
      </c>
      <c r="S144" s="4">
        <f>R146</f>
        <v>747.43984674359058</v>
      </c>
      <c r="T144" s="4">
        <f>S146</f>
        <v>929.19886611154084</v>
      </c>
    </row>
    <row r="145" spans="2:20" outlineLevel="2" x14ac:dyDescent="0.2">
      <c r="D145" s="4" t="s">
        <v>313</v>
      </c>
      <c r="E145" s="8" t="str">
        <f t="shared" si="58"/>
        <v>₦`m</v>
      </c>
      <c r="P145" s="4">
        <f>(P150*Input!P100)-P144</f>
        <v>290.28423513964185</v>
      </c>
      <c r="Q145" s="4">
        <f>(Q150*Input!Q100)-Q144</f>
        <v>160.16079233545884</v>
      </c>
      <c r="R145" s="4">
        <f>(R150*Input!R100)-R144</f>
        <v>-310.00518073151011</v>
      </c>
      <c r="S145" s="4">
        <f>(S150*Input!S100)-S144</f>
        <v>181.75901936795026</v>
      </c>
      <c r="T145" s="4">
        <f>(T150*Input!T100)-T144</f>
        <v>221.8495699175669</v>
      </c>
    </row>
    <row r="146" spans="2:20" ht="15.75" outlineLevel="2" thickBot="1" x14ac:dyDescent="0.3">
      <c r="D146" s="4" t="s">
        <v>308</v>
      </c>
      <c r="E146" s="8" t="str">
        <f t="shared" si="58"/>
        <v>₦`m</v>
      </c>
      <c r="O146" s="71">
        <f>BS!O47</f>
        <v>607</v>
      </c>
      <c r="P146" s="73">
        <f>P144+P145</f>
        <v>897.28423513964185</v>
      </c>
      <c r="Q146" s="73">
        <f t="shared" ref="Q146" si="59">Q144+Q145</f>
        <v>1057.4450274751007</v>
      </c>
      <c r="R146" s="73">
        <f t="shared" ref="R146" si="60">R144+R145</f>
        <v>747.43984674359058</v>
      </c>
      <c r="S146" s="73">
        <f t="shared" ref="S146" si="61">S144+S145</f>
        <v>929.19886611154084</v>
      </c>
      <c r="T146" s="73">
        <f t="shared" ref="T146" si="62">T144+T145</f>
        <v>1151.0484360291077</v>
      </c>
    </row>
    <row r="147" spans="2:20" ht="15" outlineLevel="2" thickTop="1" x14ac:dyDescent="0.2">
      <c r="E147" s="8"/>
    </row>
    <row r="148" spans="2:20" ht="15" outlineLevel="2" x14ac:dyDescent="0.25">
      <c r="D148" s="72" t="str">
        <f>BS!D34</f>
        <v>Retained profit</v>
      </c>
      <c r="E148" s="8"/>
    </row>
    <row r="149" spans="2:20" outlineLevel="2" x14ac:dyDescent="0.2">
      <c r="D149" s="4" t="s">
        <v>305</v>
      </c>
      <c r="E149" s="8" t="str">
        <f t="shared" ref="E149:E152" si="63">Currency</f>
        <v>₦`m</v>
      </c>
      <c r="P149" s="4">
        <f>O152</f>
        <v>160524</v>
      </c>
      <c r="Q149" s="4">
        <f>P152</f>
        <v>220342.94900930944</v>
      </c>
      <c r="R149" s="4">
        <f t="shared" ref="R149:T149" si="64">Q152</f>
        <v>290839.2841743161</v>
      </c>
      <c r="S149" s="4">
        <f t="shared" si="64"/>
        <v>340668.60729055549</v>
      </c>
      <c r="T149" s="4">
        <f t="shared" si="64"/>
        <v>402615.19836465816</v>
      </c>
    </row>
    <row r="150" spans="2:20" outlineLevel="2" x14ac:dyDescent="0.2">
      <c r="D150" s="4" t="s">
        <v>314</v>
      </c>
      <c r="E150" s="8" t="str">
        <f t="shared" si="63"/>
        <v>₦`m</v>
      </c>
      <c r="P150" s="4">
        <f>'P&amp;L'!P29</f>
        <v>299094.74504654726</v>
      </c>
      <c r="Q150" s="4">
        <f>'P&amp;L'!Q29</f>
        <v>352481.67582503357</v>
      </c>
      <c r="R150" s="4">
        <f>'P&amp;L'!R29</f>
        <v>249146.61558119685</v>
      </c>
      <c r="S150" s="4">
        <f>'P&amp;L'!S29</f>
        <v>309732.95537051361</v>
      </c>
      <c r="T150" s="4">
        <f>'P&amp;L'!T29</f>
        <v>383682.81200970255</v>
      </c>
    </row>
    <row r="151" spans="2:20" outlineLevel="2" x14ac:dyDescent="0.2">
      <c r="D151" s="4" t="s">
        <v>315</v>
      </c>
      <c r="E151" s="8" t="str">
        <f t="shared" si="63"/>
        <v>₦`m</v>
      </c>
      <c r="P151" s="4">
        <f>(P150&gt;0)*(P150*Input!P91)</f>
        <v>239275.79603723783</v>
      </c>
      <c r="Q151" s="4">
        <f>(Q150&gt;0)*(Q150*Input!Q91)</f>
        <v>281985.34066002688</v>
      </c>
      <c r="R151" s="4">
        <f>(R150&gt;0)*(R150*Input!R91)</f>
        <v>199317.29246495749</v>
      </c>
      <c r="S151" s="4">
        <f>(S150&gt;0)*(S150*Input!S91)</f>
        <v>247786.3642964109</v>
      </c>
      <c r="T151" s="4">
        <f>(T150&gt;0)*(T150*Input!T91)</f>
        <v>306946.24960776203</v>
      </c>
    </row>
    <row r="152" spans="2:20" ht="15.75" outlineLevel="2" thickBot="1" x14ac:dyDescent="0.3">
      <c r="D152" s="4" t="s">
        <v>308</v>
      </c>
      <c r="E152" s="8" t="str">
        <f t="shared" si="63"/>
        <v>₦`m</v>
      </c>
      <c r="O152" s="71">
        <f>BS!O34</f>
        <v>160524</v>
      </c>
      <c r="P152" s="73">
        <f>P149+P150-P151</f>
        <v>220342.94900930944</v>
      </c>
      <c r="Q152" s="73">
        <f>Q149+Q150-Q151</f>
        <v>290839.2841743161</v>
      </c>
      <c r="R152" s="73">
        <f t="shared" ref="R152:T152" si="65">R149+R150-R151</f>
        <v>340668.60729055549</v>
      </c>
      <c r="S152" s="73">
        <f t="shared" si="65"/>
        <v>402615.19836465816</v>
      </c>
      <c r="T152" s="73">
        <f t="shared" si="65"/>
        <v>479351.76076659869</v>
      </c>
    </row>
    <row r="153" spans="2:20" ht="15" outlineLevel="2" thickTop="1" x14ac:dyDescent="0.2">
      <c r="E153" s="8"/>
    </row>
    <row r="154" spans="2:20" outlineLevel="2" x14ac:dyDescent="0.2">
      <c r="E154" s="8"/>
    </row>
    <row r="155" spans="2:20" ht="19.5" x14ac:dyDescent="0.3">
      <c r="B155" s="2" t="s">
        <v>350</v>
      </c>
      <c r="C155" s="2"/>
      <c r="D155" s="2"/>
      <c r="E155" s="28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</row>
    <row r="156" spans="2:20" ht="15.75" outlineLevel="1" x14ac:dyDescent="0.25">
      <c r="C156" s="3" t="s">
        <v>318</v>
      </c>
      <c r="D156" s="3"/>
      <c r="E156" s="29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</row>
    <row r="157" spans="2:20" outlineLevel="2" x14ac:dyDescent="0.2">
      <c r="D157" s="4" t="s">
        <v>305</v>
      </c>
      <c r="E157" s="8" t="str">
        <f t="shared" ref="E157:E162" si="66">Currency</f>
        <v>₦`m</v>
      </c>
      <c r="P157" s="4">
        <f>O160</f>
        <v>641790</v>
      </c>
      <c r="Q157" s="4">
        <f t="shared" ref="Q157:T157" si="67">P160</f>
        <v>627851.16044406989</v>
      </c>
      <c r="R157" s="4">
        <f t="shared" si="67"/>
        <v>679433.98010654887</v>
      </c>
      <c r="S157" s="4">
        <f t="shared" si="67"/>
        <v>670155.45981571882</v>
      </c>
      <c r="T157" s="4">
        <f t="shared" si="67"/>
        <v>633839.73544830491</v>
      </c>
    </row>
    <row r="158" spans="2:20" outlineLevel="2" x14ac:dyDescent="0.2">
      <c r="D158" s="4" t="s">
        <v>319</v>
      </c>
      <c r="E158" s="8" t="str">
        <f t="shared" si="66"/>
        <v>₦`m</v>
      </c>
      <c r="P158" s="4">
        <f>(P159+P160)-P157</f>
        <v>30344.670444069896</v>
      </c>
      <c r="Q158" s="4">
        <f t="shared" ref="Q158:T158" si="68">(Q159+Q160)-Q157</f>
        <v>94904.549733119784</v>
      </c>
      <c r="R158" s="4">
        <f t="shared" si="68"/>
        <v>37602.42433652177</v>
      </c>
      <c r="S158" s="4">
        <f t="shared" si="68"/>
        <v>9925.0023598707048</v>
      </c>
      <c r="T158" s="4">
        <f t="shared" si="68"/>
        <v>126894.71503675054</v>
      </c>
    </row>
    <row r="159" spans="2:20" outlineLevel="2" x14ac:dyDescent="0.2">
      <c r="D159" s="4" t="s">
        <v>320</v>
      </c>
      <c r="E159" s="8" t="str">
        <f t="shared" si="66"/>
        <v>₦`m</v>
      </c>
      <c r="P159" s="4">
        <f>P157*Input!P137</f>
        <v>44283.51</v>
      </c>
      <c r="Q159" s="4">
        <f>Q157*Input!Q137</f>
        <v>43321.730070640828</v>
      </c>
      <c r="R159" s="4">
        <f>R157*Input!R137</f>
        <v>46880.944627351877</v>
      </c>
      <c r="S159" s="4">
        <f>S157*Input!S137</f>
        <v>46240.7267272846</v>
      </c>
      <c r="T159" s="4">
        <f>T157*Input!T137</f>
        <v>43734.941745933043</v>
      </c>
    </row>
    <row r="160" spans="2:20" ht="15.75" outlineLevel="2" thickBot="1" x14ac:dyDescent="0.3">
      <c r="D160" s="4" t="s">
        <v>316</v>
      </c>
      <c r="E160" s="8" t="str">
        <f t="shared" si="66"/>
        <v>₦`m</v>
      </c>
      <c r="O160" s="71">
        <f>BS!O39</f>
        <v>641790</v>
      </c>
      <c r="P160" s="73">
        <f>Input!P136*'P&amp;L'!P13</f>
        <v>627851.16044406989</v>
      </c>
      <c r="Q160" s="73">
        <f>Input!Q136*'P&amp;L'!Q13</f>
        <v>679433.98010654887</v>
      </c>
      <c r="R160" s="73">
        <f>Input!R136*'P&amp;L'!R13</f>
        <v>670155.45981571882</v>
      </c>
      <c r="S160" s="73">
        <f>Input!S136*'P&amp;L'!S13</f>
        <v>633839.73544830491</v>
      </c>
      <c r="T160" s="73">
        <f>Input!T136*'P&amp;L'!T13</f>
        <v>716999.50873912242</v>
      </c>
    </row>
    <row r="161" spans="3:20" ht="15" outlineLevel="2" thickTop="1" x14ac:dyDescent="0.2">
      <c r="E161" s="8"/>
    </row>
    <row r="162" spans="3:20" outlineLevel="2" x14ac:dyDescent="0.2">
      <c r="D162" s="4" t="s">
        <v>203</v>
      </c>
      <c r="E162" s="8" t="str">
        <f t="shared" si="66"/>
        <v>₦`m</v>
      </c>
      <c r="P162" s="4">
        <f>AVERAGE(O160:P160)*Input!P115</f>
        <v>76813.290206866222</v>
      </c>
      <c r="Q162" s="4">
        <f>AVERAGE(P160:Q160)*Input!Q115</f>
        <v>79090.751003312427</v>
      </c>
      <c r="R162" s="4">
        <f>AVERAGE(Q160:R160)*Input!R115</f>
        <v>81650.161115297189</v>
      </c>
      <c r="S162" s="4">
        <f>AVERAGE(R160:S160)*Input!S115</f>
        <v>78891.709313473431</v>
      </c>
      <c r="T162" s="4">
        <f>AVERAGE(S160:T160)*Input!T115</f>
        <v>81725.774273339339</v>
      </c>
    </row>
    <row r="163" spans="3:20" outlineLevel="2" x14ac:dyDescent="0.2">
      <c r="E163" s="8"/>
    </row>
    <row r="164" spans="3:20" ht="15" outlineLevel="2" x14ac:dyDescent="0.25">
      <c r="D164" s="72" t="s">
        <v>137</v>
      </c>
      <c r="E164" s="8"/>
    </row>
    <row r="165" spans="3:20" outlineLevel="2" x14ac:dyDescent="0.2">
      <c r="D165" s="4" t="s">
        <v>348</v>
      </c>
      <c r="E165" s="8" t="str">
        <f t="shared" ref="E165:E166" si="69">Currency</f>
        <v>₦`m</v>
      </c>
      <c r="O165" s="71">
        <f>BS!O26</f>
        <v>275198</v>
      </c>
      <c r="P165" s="71">
        <f>BS!P26</f>
        <v>278775.21446238662</v>
      </c>
      <c r="Q165" s="71">
        <f>BS!Q26</f>
        <v>231303.40844335716</v>
      </c>
      <c r="R165" s="71">
        <f>BS!R26</f>
        <v>306823.37377806439</v>
      </c>
      <c r="S165" s="71">
        <f>BS!S26</f>
        <v>398024.1744725866</v>
      </c>
      <c r="T165" s="71">
        <f>BS!T26</f>
        <v>576467.90413373779</v>
      </c>
    </row>
    <row r="166" spans="3:20" outlineLevel="2" x14ac:dyDescent="0.2">
      <c r="D166" s="4" t="s">
        <v>137</v>
      </c>
      <c r="E166" s="8" t="str">
        <f t="shared" si="69"/>
        <v>₦`m</v>
      </c>
      <c r="P166" s="4">
        <f>O165*Input!P85</f>
        <v>55039.600000000006</v>
      </c>
      <c r="Q166" s="4">
        <f>P165*Input!Q85</f>
        <v>55755.04289247733</v>
      </c>
      <c r="R166" s="4">
        <f>Q165*Input!R85</f>
        <v>23130.340844335718</v>
      </c>
      <c r="S166" s="4">
        <f>R165*Input!S85</f>
        <v>30682.337377806442</v>
      </c>
      <c r="T166" s="4">
        <f>S165*Input!T85</f>
        <v>39802.41744725866</v>
      </c>
    </row>
    <row r="167" spans="3:20" outlineLevel="2" x14ac:dyDescent="0.2">
      <c r="E167" s="8"/>
    </row>
    <row r="168" spans="3:20" ht="15.75" outlineLevel="1" x14ac:dyDescent="0.25">
      <c r="C168" s="3" t="s">
        <v>322</v>
      </c>
      <c r="D168" s="3"/>
      <c r="E168" s="29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</row>
    <row r="169" spans="3:20" outlineLevel="2" x14ac:dyDescent="0.2">
      <c r="E169" s="8"/>
    </row>
    <row r="170" spans="3:20" outlineLevel="2" x14ac:dyDescent="0.2">
      <c r="D170" s="4" t="str">
        <f>Input!D111</f>
        <v>NIBOR</v>
      </c>
      <c r="E170" s="8" t="str">
        <f>Input!E111</f>
        <v>%age</v>
      </c>
      <c r="P170" s="67">
        <f>Input!P111</f>
        <v>8.5000000000000006E-2</v>
      </c>
      <c r="Q170" s="67">
        <f>Input!Q111</f>
        <v>8.5000000000000006E-2</v>
      </c>
      <c r="R170" s="67">
        <f>Input!R111</f>
        <v>8.5000000000000006E-2</v>
      </c>
      <c r="S170" s="67">
        <f>Input!S111</f>
        <v>8.5000000000000006E-2</v>
      </c>
      <c r="T170" s="67">
        <f>Input!T111</f>
        <v>8.5000000000000006E-2</v>
      </c>
    </row>
    <row r="171" spans="3:20" outlineLevel="2" x14ac:dyDescent="0.2">
      <c r="D171" s="4" t="str">
        <f>Input!D112</f>
        <v>LIBOR</v>
      </c>
      <c r="E171" s="8" t="str">
        <f>Input!E112</f>
        <v>%age</v>
      </c>
      <c r="P171" s="67">
        <f>Input!P112</f>
        <v>2.3599999999999999E-2</v>
      </c>
      <c r="Q171" s="67">
        <f>Input!Q112</f>
        <v>2.3599999999999999E-2</v>
      </c>
      <c r="R171" s="67">
        <f>Input!R112</f>
        <v>2.3599999999999999E-2</v>
      </c>
      <c r="S171" s="67">
        <f>Input!S112</f>
        <v>2.3599999999999999E-2</v>
      </c>
      <c r="T171" s="67">
        <f>Input!T112</f>
        <v>2.3599999999999999E-2</v>
      </c>
    </row>
    <row r="172" spans="3:20" outlineLevel="2" x14ac:dyDescent="0.2">
      <c r="E172" s="8"/>
    </row>
    <row r="173" spans="3:20" customFormat="1" ht="15" outlineLevel="2" x14ac:dyDescent="0.25">
      <c r="D173" s="72" t="s">
        <v>324</v>
      </c>
      <c r="E173" s="8"/>
    </row>
    <row r="174" spans="3:20" customFormat="1" outlineLevel="2" x14ac:dyDescent="0.2">
      <c r="D174" t="s">
        <v>305</v>
      </c>
      <c r="E174" s="8" t="str">
        <f t="shared" ref="E174:E177" si="70">Currency</f>
        <v>₦`m</v>
      </c>
      <c r="P174">
        <f>O177</f>
        <v>521150</v>
      </c>
      <c r="Q174">
        <f t="shared" ref="Q174:T174" si="71">P177</f>
        <v>432560.83333333337</v>
      </c>
      <c r="R174">
        <f t="shared" si="71"/>
        <v>458336.19162793399</v>
      </c>
      <c r="S174">
        <f t="shared" si="71"/>
        <v>496878.56668368669</v>
      </c>
      <c r="T174">
        <f t="shared" si="71"/>
        <v>393118.74949636613</v>
      </c>
    </row>
    <row r="175" spans="3:20" outlineLevel="2" x14ac:dyDescent="0.2">
      <c r="D175" s="4" t="s">
        <v>323</v>
      </c>
      <c r="E175" s="8" t="str">
        <f t="shared" si="70"/>
        <v>₦`m</v>
      </c>
      <c r="P175" s="4">
        <f>P185+P202+P219+P236+P253+P270+P287+P304+P321+P338+P355+P372+P389</f>
        <v>97519</v>
      </c>
      <c r="Q175" s="4">
        <f t="shared" ref="Q175:T175" si="72">Q185+Q202+Q219+Q236+Q253+Q270+Q287+Q304+Q321+Q338+Q355+Q372+Q389</f>
        <v>161597.02496126731</v>
      </c>
      <c r="R175" s="4">
        <f t="shared" si="72"/>
        <v>244004.05420305301</v>
      </c>
      <c r="S175" s="4">
        <f t="shared" si="72"/>
        <v>168469.38906150631</v>
      </c>
      <c r="T175" s="4">
        <f t="shared" si="72"/>
        <v>431522.22438965482</v>
      </c>
    </row>
    <row r="176" spans="3:20" outlineLevel="2" x14ac:dyDescent="0.2">
      <c r="D176" s="4" t="s">
        <v>320</v>
      </c>
      <c r="E176" s="8" t="str">
        <f t="shared" si="70"/>
        <v>₦`m</v>
      </c>
      <c r="P176" s="4">
        <f>P186+P203+P220+P237+P254+P271+P288+P305+P322+P339+P356+P373+P390</f>
        <v>186108.16666666666</v>
      </c>
      <c r="Q176" s="4">
        <f t="shared" ref="Q176:T176" si="73">Q186+Q203+Q220+Q237+Q254+Q271+Q288+Q305+Q322+Q339+Q356+Q373+Q390</f>
        <v>135821.66666666666</v>
      </c>
      <c r="R176" s="4">
        <f t="shared" si="73"/>
        <v>205461.67914730031</v>
      </c>
      <c r="S176" s="4">
        <f t="shared" si="73"/>
        <v>272229.20624882681</v>
      </c>
      <c r="T176" s="4">
        <f t="shared" si="73"/>
        <v>275665.38829894632</v>
      </c>
    </row>
    <row r="177" spans="4:20" ht="15.75" outlineLevel="2" thickBot="1" x14ac:dyDescent="0.3">
      <c r="D177" s="4" t="s">
        <v>316</v>
      </c>
      <c r="E177" s="8" t="str">
        <f t="shared" si="70"/>
        <v>₦`m</v>
      </c>
      <c r="O177" s="71">
        <f>BS!O38</f>
        <v>521150</v>
      </c>
      <c r="P177" s="73">
        <f>P174+P175-P176</f>
        <v>432560.83333333337</v>
      </c>
      <c r="Q177" s="73">
        <f t="shared" ref="Q177:T177" si="74">Q174+Q175-Q176</f>
        <v>458336.19162793399</v>
      </c>
      <c r="R177" s="73">
        <f t="shared" si="74"/>
        <v>496878.56668368669</v>
      </c>
      <c r="S177" s="73">
        <f t="shared" si="74"/>
        <v>393118.74949636613</v>
      </c>
      <c r="T177" s="73">
        <f t="shared" si="74"/>
        <v>548975.58558707463</v>
      </c>
    </row>
    <row r="178" spans="4:20" ht="15" outlineLevel="2" thickTop="1" x14ac:dyDescent="0.2">
      <c r="E178" s="8"/>
    </row>
    <row r="179" spans="4:20" outlineLevel="2" x14ac:dyDescent="0.2">
      <c r="D179" s="4" t="s">
        <v>203</v>
      </c>
      <c r="E179" s="8" t="str">
        <f t="shared" ref="E179" si="75">Currency</f>
        <v>₦`m</v>
      </c>
      <c r="P179" s="4">
        <f>P198+P215+P232+P249+P266+P283+P300+P317+P334+P351+P368+P385+P402</f>
        <v>56346.966491666666</v>
      </c>
      <c r="Q179" s="4">
        <f t="shared" ref="Q179:T179" si="76">Q198+Q215+Q232+Q249+Q266+Q283+Q300+Q317+Q334+Q351+Q368+Q385+Q402</f>
        <v>49610.729805939074</v>
      </c>
      <c r="R179" s="4">
        <f t="shared" si="76"/>
        <v>49909.753458423525</v>
      </c>
      <c r="S179" s="4">
        <f t="shared" si="76"/>
        <v>44765.375352305738</v>
      </c>
      <c r="T179" s="4">
        <f t="shared" si="76"/>
        <v>32653.28589162049</v>
      </c>
    </row>
    <row r="180" spans="4:20" outlineLevel="2" x14ac:dyDescent="0.2">
      <c r="D180" s="4" t="str">
        <f>D162</f>
        <v>Interest expense</v>
      </c>
      <c r="E180" s="8" t="str">
        <f>E162</f>
        <v>₦`m</v>
      </c>
      <c r="P180" s="4">
        <f>P162</f>
        <v>76813.290206866222</v>
      </c>
      <c r="Q180" s="4">
        <f t="shared" ref="Q180:T180" si="77">Q162</f>
        <v>79090.751003312427</v>
      </c>
      <c r="R180" s="4">
        <f t="shared" si="77"/>
        <v>81650.161115297189</v>
      </c>
      <c r="S180" s="4">
        <f t="shared" si="77"/>
        <v>78891.709313473431</v>
      </c>
      <c r="T180" s="4">
        <f t="shared" si="77"/>
        <v>81725.774273339339</v>
      </c>
    </row>
    <row r="181" spans="4:20" ht="15" outlineLevel="2" x14ac:dyDescent="0.25">
      <c r="D181" s="4" t="s">
        <v>357</v>
      </c>
      <c r="E181" s="8" t="str">
        <f>Currency</f>
        <v>₦`m</v>
      </c>
      <c r="P181" s="48">
        <f>P179+P180</f>
        <v>133160.2566985329</v>
      </c>
      <c r="Q181" s="48">
        <f t="shared" ref="Q181:T181" si="78">Q179+Q180</f>
        <v>128701.4808092515</v>
      </c>
      <c r="R181" s="48">
        <f t="shared" si="78"/>
        <v>131559.91457372071</v>
      </c>
      <c r="S181" s="48">
        <f t="shared" si="78"/>
        <v>123657.08466577917</v>
      </c>
      <c r="T181" s="48">
        <f t="shared" si="78"/>
        <v>114379.06016495982</v>
      </c>
    </row>
    <row r="182" spans="4:20" outlineLevel="2" x14ac:dyDescent="0.2">
      <c r="E182" s="8"/>
    </row>
    <row r="183" spans="4:20" ht="15" outlineLevel="2" x14ac:dyDescent="0.25">
      <c r="D183" s="72" t="str">
        <f>I185</f>
        <v>Syndicated facility</v>
      </c>
      <c r="E183" s="8"/>
    </row>
    <row r="184" spans="4:20" outlineLevel="2" x14ac:dyDescent="0.2">
      <c r="D184" s="4" t="s">
        <v>305</v>
      </c>
      <c r="E184" s="8" t="str">
        <f t="shared" ref="E184:E187" si="79">Currency</f>
        <v>₦`m</v>
      </c>
      <c r="G184" s="76" t="str">
        <f t="array" ref="G184:G191">TRANSPOSE(D_Headings)</f>
        <v>S/N</v>
      </c>
      <c r="H184" s="77"/>
      <c r="I184" s="78">
        <v>1</v>
      </c>
      <c r="P184" s="4">
        <f>O187</f>
        <v>181050</v>
      </c>
      <c r="Q184" s="4">
        <f t="shared" ref="Q184" si="80">P187</f>
        <v>144840</v>
      </c>
      <c r="R184" s="4">
        <f t="shared" ref="R184" si="81">Q187</f>
        <v>108630</v>
      </c>
      <c r="S184" s="4">
        <f t="shared" ref="S184" si="82">R187</f>
        <v>72420</v>
      </c>
      <c r="T184" s="4">
        <f t="shared" ref="T184" si="83">S187</f>
        <v>36210</v>
      </c>
    </row>
    <row r="185" spans="4:20" outlineLevel="2" x14ac:dyDescent="0.2">
      <c r="D185" s="4" t="s">
        <v>323</v>
      </c>
      <c r="E185" s="8" t="str">
        <f t="shared" si="79"/>
        <v>₦`m</v>
      </c>
      <c r="G185" s="79" t="str">
        <v>Descriptions</v>
      </c>
      <c r="H185" s="80"/>
      <c r="I185" s="81" t="str">
        <f>VLOOKUP(I184,D_Table,MATCH($G185,D_Headings,0),0)</f>
        <v>Syndicated facility</v>
      </c>
      <c r="P185" s="4">
        <f>P189*$I191</f>
        <v>0</v>
      </c>
      <c r="Q185" s="4">
        <f t="shared" ref="Q185:T185" si="84">Q189*$I191</f>
        <v>0</v>
      </c>
      <c r="R185" s="4">
        <f t="shared" si="84"/>
        <v>0</v>
      </c>
      <c r="S185" s="4">
        <f t="shared" si="84"/>
        <v>0</v>
      </c>
      <c r="T185" s="4">
        <f t="shared" si="84"/>
        <v>0</v>
      </c>
    </row>
    <row r="186" spans="4:20" outlineLevel="2" x14ac:dyDescent="0.2">
      <c r="D186" s="4" t="s">
        <v>320</v>
      </c>
      <c r="E186" s="8" t="str">
        <f t="shared" si="79"/>
        <v>₦`m</v>
      </c>
      <c r="G186" s="79" t="str">
        <v>Types</v>
      </c>
      <c r="H186" s="80"/>
      <c r="I186" s="81" t="str">
        <f>VLOOKUP(I184,D_Table,MATCH($G186,D_Headings,0),0)</f>
        <v>Floating</v>
      </c>
      <c r="P186" s="4">
        <f>($I191/P192)*P190</f>
        <v>36210</v>
      </c>
      <c r="Q186" s="4">
        <f t="shared" ref="Q186:T186" si="85">($I191/Q192)*Q190</f>
        <v>36210</v>
      </c>
      <c r="R186" s="4">
        <f t="shared" si="85"/>
        <v>36210</v>
      </c>
      <c r="S186" s="4">
        <f t="shared" si="85"/>
        <v>36210</v>
      </c>
      <c r="T186" s="4">
        <f t="shared" si="85"/>
        <v>36210</v>
      </c>
    </row>
    <row r="187" spans="4:20" ht="15.75" outlineLevel="2" thickBot="1" x14ac:dyDescent="0.3">
      <c r="D187" s="4" t="s">
        <v>316</v>
      </c>
      <c r="E187" s="8" t="str">
        <f t="shared" si="79"/>
        <v>₦`m</v>
      </c>
      <c r="G187" s="79" t="str">
        <v>Rate/Spread</v>
      </c>
      <c r="H187" s="80"/>
      <c r="I187" s="82">
        <f>VLOOKUP(I184,D_Table,MATCH($G187,D_Headings,0),0)</f>
        <v>3.5099999999999999E-2</v>
      </c>
      <c r="O187" s="71">
        <f>($I188&lt;=O$6)*$I191</f>
        <v>181050</v>
      </c>
      <c r="P187" s="73">
        <f>P184+P185-P186</f>
        <v>144840</v>
      </c>
      <c r="Q187" s="73">
        <f t="shared" ref="Q187:T187" si="86">Q184+Q185-Q186</f>
        <v>108630</v>
      </c>
      <c r="R187" s="73">
        <f t="shared" si="86"/>
        <v>72420</v>
      </c>
      <c r="S187" s="73">
        <f t="shared" si="86"/>
        <v>36210</v>
      </c>
      <c r="T187" s="73">
        <f t="shared" si="86"/>
        <v>0</v>
      </c>
    </row>
    <row r="188" spans="4:20" ht="15" outlineLevel="2" thickTop="1" x14ac:dyDescent="0.2">
      <c r="E188" s="8"/>
      <c r="G188" s="79" t="str">
        <v>Inflow Period</v>
      </c>
      <c r="H188" s="80"/>
      <c r="I188" s="83">
        <f>VLOOKUP(I184,D_Table,MATCH($G188,D_Headings,0),0)</f>
        <v>0</v>
      </c>
    </row>
    <row r="189" spans="4:20" outlineLevel="2" x14ac:dyDescent="0.2">
      <c r="E189" s="8"/>
      <c r="G189" s="79" t="str">
        <v>Rep. period</v>
      </c>
      <c r="H189" s="80"/>
      <c r="I189" s="83">
        <f>VLOOKUP(I184,D_Table,MATCH($G189,D_Headings,0),0)</f>
        <v>2025</v>
      </c>
      <c r="N189" s="4" t="s">
        <v>353</v>
      </c>
      <c r="P189" s="4" t="b">
        <f>P$6=$I188</f>
        <v>0</v>
      </c>
      <c r="Q189" s="4" t="b">
        <f t="shared" ref="Q189:T189" si="87">Q$6=$I188</f>
        <v>0</v>
      </c>
      <c r="R189" s="4" t="b">
        <f t="shared" si="87"/>
        <v>0</v>
      </c>
      <c r="S189" s="4" t="b">
        <f t="shared" si="87"/>
        <v>0</v>
      </c>
      <c r="T189" s="4" t="b">
        <f t="shared" si="87"/>
        <v>0</v>
      </c>
    </row>
    <row r="190" spans="4:20" outlineLevel="2" x14ac:dyDescent="0.2">
      <c r="E190" s="8"/>
      <c r="G190" s="79" t="str">
        <v>Rate factor</v>
      </c>
      <c r="H190" s="80"/>
      <c r="I190" s="81" t="str">
        <f>VLOOKUP(I184,D_Table,MATCH($G190,D_Headings,0),0)</f>
        <v>NIBOR</v>
      </c>
      <c r="N190" s="4" t="s">
        <v>352</v>
      </c>
      <c r="P190" s="4" t="b">
        <f t="shared" ref="P190:T190" si="88">AND($I188&lt;P$6,$I189&gt;=P$6)</f>
        <v>1</v>
      </c>
      <c r="Q190" s="4" t="b">
        <f t="shared" si="88"/>
        <v>1</v>
      </c>
      <c r="R190" s="4" t="b">
        <f t="shared" si="88"/>
        <v>1</v>
      </c>
      <c r="S190" s="4" t="b">
        <f t="shared" si="88"/>
        <v>1</v>
      </c>
      <c r="T190" s="4" t="b">
        <f t="shared" si="88"/>
        <v>1</v>
      </c>
    </row>
    <row r="191" spans="4:20" outlineLevel="2" x14ac:dyDescent="0.2">
      <c r="E191" s="8"/>
      <c r="G191" s="84" t="str">
        <v>Amount</v>
      </c>
      <c r="H191" s="85"/>
      <c r="I191" s="86">
        <f>VLOOKUP(I184,D_Table,MATCH($G191,D_Headings,0),0)</f>
        <v>181050</v>
      </c>
      <c r="N191" s="4" t="s">
        <v>351</v>
      </c>
      <c r="P191" s="41" t="str">
        <f>$I190</f>
        <v>NIBOR</v>
      </c>
      <c r="Q191" s="41" t="str">
        <f t="shared" ref="Q191:T191" si="89">$I190</f>
        <v>NIBOR</v>
      </c>
      <c r="R191" s="41" t="str">
        <f t="shared" si="89"/>
        <v>NIBOR</v>
      </c>
      <c r="S191" s="41" t="str">
        <f t="shared" si="89"/>
        <v>NIBOR</v>
      </c>
      <c r="T191" s="41" t="str">
        <f t="shared" si="89"/>
        <v>NIBOR</v>
      </c>
    </row>
    <row r="192" spans="4:20" outlineLevel="2" x14ac:dyDescent="0.2">
      <c r="E192" s="8"/>
      <c r="N192" s="4" t="s">
        <v>85</v>
      </c>
      <c r="P192" s="4">
        <f>IF($I188&gt;0,$I189-$I188,$I189-$O$6)</f>
        <v>5</v>
      </c>
      <c r="Q192" s="4">
        <f t="shared" ref="Q192:T192" si="90">IF($I188&gt;0,$I189-$I188,$I189-$O$6)</f>
        <v>5</v>
      </c>
      <c r="R192" s="4">
        <f t="shared" si="90"/>
        <v>5</v>
      </c>
      <c r="S192" s="4">
        <f t="shared" si="90"/>
        <v>5</v>
      </c>
      <c r="T192" s="4">
        <f t="shared" si="90"/>
        <v>5</v>
      </c>
    </row>
    <row r="193" spans="4:20" outlineLevel="2" x14ac:dyDescent="0.2">
      <c r="E193" s="8"/>
    </row>
    <row r="194" spans="4:20" outlineLevel="2" x14ac:dyDescent="0.2">
      <c r="E194" s="8"/>
      <c r="N194" s="4" t="str">
        <f>P191</f>
        <v>NIBOR</v>
      </c>
      <c r="P194" s="75" cm="1">
        <f t="array" ref="P194">INDEX(P$170:P$171,MATCH(P191,$D$170:$D$171,0),0)</f>
        <v>8.5000000000000006E-2</v>
      </c>
      <c r="Q194" s="75" cm="1">
        <f t="array" ref="Q194">INDEX(Q$170:Q$171,MATCH(Q191,$D$170:$D$171,0),0)</f>
        <v>8.5000000000000006E-2</v>
      </c>
      <c r="R194" s="75" cm="1">
        <f t="array" ref="R194">INDEX(R$170:R$171,MATCH(R191,$D$170:$D$171,0),0)</f>
        <v>8.5000000000000006E-2</v>
      </c>
      <c r="S194" s="75" cm="1">
        <f t="array" ref="S194">INDEX(S$170:S$171,MATCH(S191,$D$170:$D$171,0),0)</f>
        <v>8.5000000000000006E-2</v>
      </c>
      <c r="T194" s="75" cm="1">
        <f t="array" ref="T194">INDEX(T$170:T$171,MATCH(T191,$D$170:$D$171,0),0)</f>
        <v>8.5000000000000006E-2</v>
      </c>
    </row>
    <row r="195" spans="4:20" outlineLevel="2" x14ac:dyDescent="0.2">
      <c r="E195" s="8"/>
      <c r="N195" s="4" t="s">
        <v>354</v>
      </c>
      <c r="P195" s="75">
        <f t="shared" ref="P195:T195" si="91">$I187</f>
        <v>3.5099999999999999E-2</v>
      </c>
      <c r="Q195" s="75">
        <f t="shared" si="91"/>
        <v>3.5099999999999999E-2</v>
      </c>
      <c r="R195" s="75">
        <f t="shared" si="91"/>
        <v>3.5099999999999999E-2</v>
      </c>
      <c r="S195" s="75">
        <f t="shared" si="91"/>
        <v>3.5099999999999999E-2</v>
      </c>
      <c r="T195" s="75">
        <f t="shared" si="91"/>
        <v>3.5099999999999999E-2</v>
      </c>
    </row>
    <row r="196" spans="4:20" outlineLevel="2" x14ac:dyDescent="0.2">
      <c r="E196" s="8"/>
      <c r="N196" s="4" t="s">
        <v>355</v>
      </c>
      <c r="P196" s="52">
        <f>P194+P195</f>
        <v>0.12010000000000001</v>
      </c>
      <c r="Q196" s="52">
        <f t="shared" ref="Q196:T196" si="92">Q194+Q195</f>
        <v>0.12010000000000001</v>
      </c>
      <c r="R196" s="52">
        <f t="shared" si="92"/>
        <v>0.12010000000000001</v>
      </c>
      <c r="S196" s="52">
        <f t="shared" si="92"/>
        <v>0.12010000000000001</v>
      </c>
      <c r="T196" s="52">
        <f t="shared" si="92"/>
        <v>0.12010000000000001</v>
      </c>
    </row>
    <row r="197" spans="4:20" outlineLevel="2" x14ac:dyDescent="0.2">
      <c r="E197" s="8"/>
    </row>
    <row r="198" spans="4:20" outlineLevel="2" x14ac:dyDescent="0.2">
      <c r="E198" s="8"/>
      <c r="N198" s="4" t="s">
        <v>203</v>
      </c>
      <c r="P198" s="4">
        <f>AVERAGE(O187:P187)*P196</f>
        <v>19569.694500000001</v>
      </c>
      <c r="Q198" s="4">
        <f t="shared" ref="Q198:T198" si="93">AVERAGE(P187:Q187)*Q196</f>
        <v>15220.873500000002</v>
      </c>
      <c r="R198" s="4">
        <f t="shared" si="93"/>
        <v>10872.052500000002</v>
      </c>
      <c r="S198" s="4">
        <f t="shared" si="93"/>
        <v>6523.2315000000008</v>
      </c>
      <c r="T198" s="4">
        <f t="shared" si="93"/>
        <v>2174.4105000000004</v>
      </c>
    </row>
    <row r="199" spans="4:20" outlineLevel="2" x14ac:dyDescent="0.2">
      <c r="E199" s="8"/>
    </row>
    <row r="200" spans="4:20" ht="15" outlineLevel="2" x14ac:dyDescent="0.25">
      <c r="D200" s="72" t="str">
        <f t="shared" ref="D200" si="94">I202</f>
        <v>Syndicated facility 2</v>
      </c>
      <c r="E200" s="8"/>
    </row>
    <row r="201" spans="4:20" outlineLevel="2" x14ac:dyDescent="0.2">
      <c r="D201" s="4" t="s">
        <v>305</v>
      </c>
      <c r="E201" s="8" t="str">
        <f t="shared" ref="E201:E221" si="95">Currency</f>
        <v>₦`m</v>
      </c>
      <c r="G201" s="76" t="str">
        <f t="array" ref="G201:G208">TRANSPOSE(D_Headings)</f>
        <v>S/N</v>
      </c>
      <c r="H201" s="77"/>
      <c r="I201" s="78">
        <v>2</v>
      </c>
      <c r="P201" s="4">
        <f t="shared" ref="P201" si="96">O204</f>
        <v>199312</v>
      </c>
      <c r="Q201" s="4">
        <f t="shared" ref="Q201" si="97">P204</f>
        <v>166093.33333333334</v>
      </c>
      <c r="R201" s="4">
        <f t="shared" ref="R201" si="98">Q204</f>
        <v>132874.66666666669</v>
      </c>
      <c r="S201" s="4">
        <f t="shared" ref="S201" si="99">R204</f>
        <v>99656.000000000029</v>
      </c>
      <c r="T201" s="4">
        <f t="shared" ref="T201" si="100">S204</f>
        <v>66437.333333333372</v>
      </c>
    </row>
    <row r="202" spans="4:20" outlineLevel="2" x14ac:dyDescent="0.2">
      <c r="D202" s="4" t="s">
        <v>323</v>
      </c>
      <c r="E202" s="8" t="str">
        <f t="shared" si="95"/>
        <v>₦`m</v>
      </c>
      <c r="G202" s="79" t="str">
        <v>Descriptions</v>
      </c>
      <c r="H202" s="80"/>
      <c r="I202" s="81" t="str">
        <f>VLOOKUP(I201,D_Table,MATCH($G202,D_Headings,0),0)</f>
        <v>Syndicated facility 2</v>
      </c>
      <c r="P202" s="4">
        <f t="shared" ref="P202:T202" si="101">P206*$I208</f>
        <v>0</v>
      </c>
      <c r="Q202" s="4">
        <f t="shared" si="101"/>
        <v>0</v>
      </c>
      <c r="R202" s="4">
        <f t="shared" si="101"/>
        <v>0</v>
      </c>
      <c r="S202" s="4">
        <f t="shared" si="101"/>
        <v>0</v>
      </c>
      <c r="T202" s="4">
        <f t="shared" si="101"/>
        <v>0</v>
      </c>
    </row>
    <row r="203" spans="4:20" outlineLevel="2" x14ac:dyDescent="0.2">
      <c r="D203" s="4" t="s">
        <v>320</v>
      </c>
      <c r="E203" s="8" t="str">
        <f t="shared" si="95"/>
        <v>₦`m</v>
      </c>
      <c r="G203" s="79" t="str">
        <v>Types</v>
      </c>
      <c r="H203" s="80"/>
      <c r="I203" s="81" t="str">
        <f>VLOOKUP(I201,D_Table,MATCH($G203,D_Headings,0),0)</f>
        <v>Floating</v>
      </c>
      <c r="P203" s="4">
        <f t="shared" ref="P203:T203" si="102">($I208/P209)*P207</f>
        <v>33218.666666666664</v>
      </c>
      <c r="Q203" s="4">
        <f t="shared" si="102"/>
        <v>33218.666666666664</v>
      </c>
      <c r="R203" s="4">
        <f t="shared" si="102"/>
        <v>33218.666666666664</v>
      </c>
      <c r="S203" s="4">
        <f t="shared" si="102"/>
        <v>33218.666666666664</v>
      </c>
      <c r="T203" s="4">
        <f t="shared" si="102"/>
        <v>33218.666666666664</v>
      </c>
    </row>
    <row r="204" spans="4:20" ht="15.75" outlineLevel="2" thickBot="1" x14ac:dyDescent="0.3">
      <c r="D204" s="4" t="s">
        <v>316</v>
      </c>
      <c r="E204" s="8" t="str">
        <f t="shared" si="95"/>
        <v>₦`m</v>
      </c>
      <c r="G204" s="79" t="str">
        <v>Rate/Spread</v>
      </c>
      <c r="H204" s="80"/>
      <c r="I204" s="82">
        <f>VLOOKUP(I201,D_Table,MATCH($G204,D_Headings,0),0)</f>
        <v>3.5099999999999999E-2</v>
      </c>
      <c r="O204" s="71">
        <f t="shared" ref="O204" si="103">($I205&lt;=O$6)*$I208</f>
        <v>199312</v>
      </c>
      <c r="P204" s="73">
        <f t="shared" ref="P204:T204" si="104">P201+P202-P203</f>
        <v>166093.33333333334</v>
      </c>
      <c r="Q204" s="73">
        <f t="shared" si="104"/>
        <v>132874.66666666669</v>
      </c>
      <c r="R204" s="73">
        <f t="shared" si="104"/>
        <v>99656.000000000029</v>
      </c>
      <c r="S204" s="73">
        <f t="shared" si="104"/>
        <v>66437.333333333372</v>
      </c>
      <c r="T204" s="73">
        <f t="shared" si="104"/>
        <v>33218.666666666708</v>
      </c>
    </row>
    <row r="205" spans="4:20" ht="15" outlineLevel="2" thickTop="1" x14ac:dyDescent="0.2">
      <c r="E205" s="8"/>
      <c r="G205" s="79" t="str">
        <v>Inflow Period</v>
      </c>
      <c r="H205" s="80"/>
      <c r="I205" s="83">
        <f>VLOOKUP(I201,D_Table,MATCH($G205,D_Headings,0),0)</f>
        <v>0</v>
      </c>
    </row>
    <row r="206" spans="4:20" outlineLevel="2" x14ac:dyDescent="0.2">
      <c r="E206" s="8"/>
      <c r="G206" s="79" t="str">
        <v>Rep. period</v>
      </c>
      <c r="H206" s="80"/>
      <c r="I206" s="83">
        <f>VLOOKUP(I201,D_Table,MATCH($G206,D_Headings,0),0)</f>
        <v>2026</v>
      </c>
      <c r="N206" s="4" t="s">
        <v>353</v>
      </c>
      <c r="P206" s="4" t="b">
        <f t="shared" ref="P206:T206" si="105">P$6=$I205</f>
        <v>0</v>
      </c>
      <c r="Q206" s="4" t="b">
        <f t="shared" si="105"/>
        <v>0</v>
      </c>
      <c r="R206" s="4" t="b">
        <f t="shared" si="105"/>
        <v>0</v>
      </c>
      <c r="S206" s="4" t="b">
        <f t="shared" si="105"/>
        <v>0</v>
      </c>
      <c r="T206" s="4" t="b">
        <f t="shared" si="105"/>
        <v>0</v>
      </c>
    </row>
    <row r="207" spans="4:20" outlineLevel="2" x14ac:dyDescent="0.2">
      <c r="E207" s="8"/>
      <c r="G207" s="79" t="str">
        <v>Rate factor</v>
      </c>
      <c r="H207" s="80"/>
      <c r="I207" s="81" t="str">
        <f>VLOOKUP(I201,D_Table,MATCH($G207,D_Headings,0),0)</f>
        <v>NIBOR</v>
      </c>
      <c r="N207" s="4" t="s">
        <v>352</v>
      </c>
      <c r="P207" s="4" t="b">
        <f t="shared" ref="P207" si="106">AND($I205&lt;P$6,$I206&gt;=P$6)</f>
        <v>1</v>
      </c>
      <c r="Q207" s="4" t="b">
        <f t="shared" ref="Q207" si="107">AND($I205&lt;Q$6,$I206&gt;=Q$6)</f>
        <v>1</v>
      </c>
      <c r="R207" s="4" t="b">
        <f t="shared" ref="R207" si="108">AND($I205&lt;R$6,$I206&gt;=R$6)</f>
        <v>1</v>
      </c>
      <c r="S207" s="4" t="b">
        <f t="shared" ref="S207" si="109">AND($I205&lt;S$6,$I206&gt;=S$6)</f>
        <v>1</v>
      </c>
      <c r="T207" s="4" t="b">
        <f t="shared" ref="T207" si="110">AND($I205&lt;T$6,$I206&gt;=T$6)</f>
        <v>1</v>
      </c>
    </row>
    <row r="208" spans="4:20" outlineLevel="2" x14ac:dyDescent="0.2">
      <c r="E208" s="8"/>
      <c r="G208" s="84" t="str">
        <v>Amount</v>
      </c>
      <c r="H208" s="85"/>
      <c r="I208" s="86">
        <f>VLOOKUP(I201,D_Table,MATCH($G208,D_Headings,0),0)</f>
        <v>199312</v>
      </c>
      <c r="N208" s="4" t="s">
        <v>351</v>
      </c>
      <c r="P208" s="41" t="str">
        <f t="shared" ref="P208:T208" si="111">$I207</f>
        <v>NIBOR</v>
      </c>
      <c r="Q208" s="41" t="str">
        <f t="shared" si="111"/>
        <v>NIBOR</v>
      </c>
      <c r="R208" s="41" t="str">
        <f t="shared" si="111"/>
        <v>NIBOR</v>
      </c>
      <c r="S208" s="41" t="str">
        <f t="shared" si="111"/>
        <v>NIBOR</v>
      </c>
      <c r="T208" s="41" t="str">
        <f t="shared" si="111"/>
        <v>NIBOR</v>
      </c>
    </row>
    <row r="209" spans="4:20" outlineLevel="2" x14ac:dyDescent="0.2">
      <c r="E209" s="8"/>
      <c r="N209" s="4" t="s">
        <v>85</v>
      </c>
      <c r="P209" s="4">
        <f t="shared" ref="P209:T209" si="112">IF($I205&gt;0,$I206-$I205,$I206-$O$6)</f>
        <v>6</v>
      </c>
      <c r="Q209" s="4">
        <f t="shared" si="112"/>
        <v>6</v>
      </c>
      <c r="R209" s="4">
        <f t="shared" si="112"/>
        <v>6</v>
      </c>
      <c r="S209" s="4">
        <f t="shared" si="112"/>
        <v>6</v>
      </c>
      <c r="T209" s="4">
        <f t="shared" si="112"/>
        <v>6</v>
      </c>
    </row>
    <row r="210" spans="4:20" outlineLevel="2" x14ac:dyDescent="0.2">
      <c r="E210" s="8"/>
    </row>
    <row r="211" spans="4:20" outlineLevel="2" x14ac:dyDescent="0.2">
      <c r="E211" s="8"/>
      <c r="N211" s="4" t="str">
        <f t="shared" ref="N211" si="113">P208</f>
        <v>NIBOR</v>
      </c>
      <c r="P211" s="75" cm="1">
        <f t="array" ref="P211">INDEX(P$170:P$171,MATCH(P208,$D$170:$D$171,0),0)</f>
        <v>8.5000000000000006E-2</v>
      </c>
      <c r="Q211" s="75" cm="1">
        <f t="array" ref="Q211">INDEX(Q$170:Q$171,MATCH(Q208,$D$170:$D$171,0),0)</f>
        <v>8.5000000000000006E-2</v>
      </c>
      <c r="R211" s="75" cm="1">
        <f t="array" ref="R211">INDEX(R$170:R$171,MATCH(R208,$D$170:$D$171,0),0)</f>
        <v>8.5000000000000006E-2</v>
      </c>
      <c r="S211" s="75" cm="1">
        <f t="array" ref="S211">INDEX(S$170:S$171,MATCH(S208,$D$170:$D$171,0),0)</f>
        <v>8.5000000000000006E-2</v>
      </c>
      <c r="T211" s="75" cm="1">
        <f t="array" ref="T211">INDEX(T$170:T$171,MATCH(T208,$D$170:$D$171,0),0)</f>
        <v>8.5000000000000006E-2</v>
      </c>
    </row>
    <row r="212" spans="4:20" outlineLevel="2" x14ac:dyDescent="0.2">
      <c r="E212" s="8"/>
      <c r="N212" s="4" t="s">
        <v>354</v>
      </c>
      <c r="P212" s="75">
        <f t="shared" ref="P212:T212" si="114">$I204</f>
        <v>3.5099999999999999E-2</v>
      </c>
      <c r="Q212" s="75">
        <f t="shared" si="114"/>
        <v>3.5099999999999999E-2</v>
      </c>
      <c r="R212" s="75">
        <f t="shared" si="114"/>
        <v>3.5099999999999999E-2</v>
      </c>
      <c r="S212" s="75">
        <f t="shared" si="114"/>
        <v>3.5099999999999999E-2</v>
      </c>
      <c r="T212" s="75">
        <f t="shared" si="114"/>
        <v>3.5099999999999999E-2</v>
      </c>
    </row>
    <row r="213" spans="4:20" outlineLevel="2" x14ac:dyDescent="0.2">
      <c r="E213" s="8"/>
      <c r="N213" s="4" t="s">
        <v>355</v>
      </c>
      <c r="P213" s="52">
        <f t="shared" ref="P213" si="115">P211+P212</f>
        <v>0.12010000000000001</v>
      </c>
      <c r="Q213" s="52">
        <f t="shared" ref="Q213" si="116">Q211+Q212</f>
        <v>0.12010000000000001</v>
      </c>
      <c r="R213" s="52">
        <f t="shared" ref="R213" si="117">R211+R212</f>
        <v>0.12010000000000001</v>
      </c>
      <c r="S213" s="52">
        <f t="shared" ref="S213" si="118">S211+S212</f>
        <v>0.12010000000000001</v>
      </c>
      <c r="T213" s="52">
        <f t="shared" ref="T213" si="119">T211+T212</f>
        <v>0.12010000000000001</v>
      </c>
    </row>
    <row r="214" spans="4:20" outlineLevel="2" x14ac:dyDescent="0.2">
      <c r="E214" s="8"/>
    </row>
    <row r="215" spans="4:20" outlineLevel="2" x14ac:dyDescent="0.2">
      <c r="E215" s="8"/>
      <c r="N215" s="4" t="s">
        <v>203</v>
      </c>
      <c r="P215" s="4">
        <f t="shared" ref="P215:T215" si="120">AVERAGE(O204:P204)*P213</f>
        <v>21942.59026666667</v>
      </c>
      <c r="Q215" s="4">
        <f t="shared" si="120"/>
        <v>17953.028400000003</v>
      </c>
      <c r="R215" s="4">
        <f t="shared" si="120"/>
        <v>13963.466533333338</v>
      </c>
      <c r="S215" s="4">
        <f t="shared" si="120"/>
        <v>9973.9046666666709</v>
      </c>
      <c r="T215" s="4">
        <f t="shared" si="120"/>
        <v>5984.3428000000058</v>
      </c>
    </row>
    <row r="216" spans="4:20" outlineLevel="2" x14ac:dyDescent="0.2">
      <c r="E216" s="8"/>
    </row>
    <row r="217" spans="4:20" ht="15" outlineLevel="2" x14ac:dyDescent="0.25">
      <c r="D217" s="72" t="str">
        <f t="shared" ref="D217" si="121">I219</f>
        <v>Commercial paper</v>
      </c>
      <c r="E217" s="8"/>
    </row>
    <row r="218" spans="4:20" outlineLevel="2" x14ac:dyDescent="0.2">
      <c r="D218" s="4" t="s">
        <v>305</v>
      </c>
      <c r="E218" s="8" t="str">
        <f t="shared" si="95"/>
        <v>₦`m</v>
      </c>
      <c r="G218" s="76" t="str">
        <f t="array" ref="G218:G225">TRANSPOSE(D_Headings)</f>
        <v>S/N</v>
      </c>
      <c r="H218" s="77"/>
      <c r="I218" s="78">
        <v>3</v>
      </c>
      <c r="P218" s="4">
        <f t="shared" ref="P218" si="122">O221</f>
        <v>79215</v>
      </c>
      <c r="Q218" s="4">
        <f t="shared" ref="Q218" si="123">P221</f>
        <v>0</v>
      </c>
      <c r="R218" s="4">
        <f t="shared" ref="R218" si="124">Q221</f>
        <v>0</v>
      </c>
      <c r="S218" s="4">
        <f t="shared" ref="S218" si="125">R221</f>
        <v>0</v>
      </c>
      <c r="T218" s="4">
        <f t="shared" ref="T218" si="126">S221</f>
        <v>0</v>
      </c>
    </row>
    <row r="219" spans="4:20" outlineLevel="2" x14ac:dyDescent="0.2">
      <c r="D219" s="4" t="s">
        <v>323</v>
      </c>
      <c r="E219" s="8" t="str">
        <f t="shared" si="95"/>
        <v>₦`m</v>
      </c>
      <c r="G219" s="79" t="str">
        <v>Descriptions</v>
      </c>
      <c r="H219" s="80"/>
      <c r="I219" s="81" t="str">
        <f>VLOOKUP(I218,D_Table,MATCH($G219,D_Headings,0),0)</f>
        <v>Commercial paper</v>
      </c>
      <c r="P219" s="4">
        <f t="shared" ref="P219:T219" si="127">P223*$I225</f>
        <v>0</v>
      </c>
      <c r="Q219" s="4">
        <f t="shared" si="127"/>
        <v>0</v>
      </c>
      <c r="R219" s="4">
        <f t="shared" si="127"/>
        <v>0</v>
      </c>
      <c r="S219" s="4">
        <f t="shared" si="127"/>
        <v>0</v>
      </c>
      <c r="T219" s="4">
        <f t="shared" si="127"/>
        <v>0</v>
      </c>
    </row>
    <row r="220" spans="4:20" outlineLevel="2" x14ac:dyDescent="0.2">
      <c r="D220" s="4" t="s">
        <v>320</v>
      </c>
      <c r="E220" s="8" t="str">
        <f t="shared" si="95"/>
        <v>₦`m</v>
      </c>
      <c r="G220" s="79" t="str">
        <v>Types</v>
      </c>
      <c r="H220" s="80"/>
      <c r="I220" s="81" t="str">
        <f>VLOOKUP(I218,D_Table,MATCH($G220,D_Headings,0),0)</f>
        <v>Fixed</v>
      </c>
      <c r="P220" s="4">
        <f t="shared" ref="P220:T220" si="128">($I225/P226)*P224</f>
        <v>79215</v>
      </c>
      <c r="Q220" s="4">
        <f t="shared" si="128"/>
        <v>0</v>
      </c>
      <c r="R220" s="4">
        <f t="shared" si="128"/>
        <v>0</v>
      </c>
      <c r="S220" s="4">
        <f t="shared" si="128"/>
        <v>0</v>
      </c>
      <c r="T220" s="4">
        <f t="shared" si="128"/>
        <v>0</v>
      </c>
    </row>
    <row r="221" spans="4:20" ht="15.75" outlineLevel="2" thickBot="1" x14ac:dyDescent="0.3">
      <c r="D221" s="4" t="s">
        <v>316</v>
      </c>
      <c r="E221" s="8" t="str">
        <f t="shared" si="95"/>
        <v>₦`m</v>
      </c>
      <c r="G221" s="79" t="str">
        <v>Rate/Spread</v>
      </c>
      <c r="H221" s="80"/>
      <c r="I221" s="82">
        <f>VLOOKUP(I218,D_Table,MATCH($G221,D_Headings,0),0)</f>
        <v>5.7000000000000002E-2</v>
      </c>
      <c r="O221" s="71">
        <f t="shared" ref="O221" si="129">($I222&lt;=O$6)*$I225</f>
        <v>79215</v>
      </c>
      <c r="P221" s="73">
        <f t="shared" ref="P221" si="130">P218+P219-P220</f>
        <v>0</v>
      </c>
      <c r="Q221" s="73">
        <f t="shared" ref="Q221" si="131">Q218+Q219-Q220</f>
        <v>0</v>
      </c>
      <c r="R221" s="73">
        <f t="shared" ref="R221" si="132">R218+R219-R220</f>
        <v>0</v>
      </c>
      <c r="S221" s="73">
        <f t="shared" ref="S221" si="133">S218+S219-S220</f>
        <v>0</v>
      </c>
      <c r="T221" s="73">
        <f t="shared" ref="T221" si="134">T218+T219-T220</f>
        <v>0</v>
      </c>
    </row>
    <row r="222" spans="4:20" ht="15" outlineLevel="2" thickTop="1" x14ac:dyDescent="0.2">
      <c r="E222" s="8"/>
      <c r="G222" s="79" t="str">
        <v>Inflow Period</v>
      </c>
      <c r="H222" s="80"/>
      <c r="I222" s="83">
        <f>VLOOKUP(I218,D_Table,MATCH($G222,D_Headings,0),0)</f>
        <v>0</v>
      </c>
    </row>
    <row r="223" spans="4:20" outlineLevel="2" x14ac:dyDescent="0.2">
      <c r="E223" s="8"/>
      <c r="G223" s="79" t="str">
        <v>Rep. period</v>
      </c>
      <c r="H223" s="80"/>
      <c r="I223" s="83">
        <f>VLOOKUP(I218,D_Table,MATCH($G223,D_Headings,0),0)</f>
        <v>2021</v>
      </c>
      <c r="N223" s="4" t="s">
        <v>353</v>
      </c>
      <c r="P223" s="4" t="b">
        <f t="shared" ref="P223" si="135">P$6=$I222</f>
        <v>0</v>
      </c>
      <c r="Q223" s="4" t="b">
        <f t="shared" ref="Q223" si="136">Q$6=$I222</f>
        <v>0</v>
      </c>
      <c r="R223" s="4" t="b">
        <f t="shared" ref="R223" si="137">R$6=$I222</f>
        <v>0</v>
      </c>
      <c r="S223" s="4" t="b">
        <f t="shared" ref="S223" si="138">S$6=$I222</f>
        <v>0</v>
      </c>
      <c r="T223" s="4" t="b">
        <f t="shared" ref="T223" si="139">T$6=$I222</f>
        <v>0</v>
      </c>
    </row>
    <row r="224" spans="4:20" outlineLevel="2" x14ac:dyDescent="0.2">
      <c r="E224" s="8"/>
      <c r="G224" s="79" t="str">
        <v>Rate factor</v>
      </c>
      <c r="H224" s="80"/>
      <c r="I224" s="81" t="str">
        <f>VLOOKUP(I218,D_Table,MATCH($G224,D_Headings,0),0)</f>
        <v>NIBOR</v>
      </c>
      <c r="N224" s="4" t="s">
        <v>352</v>
      </c>
      <c r="P224" s="4" t="b">
        <f t="shared" ref="P224" si="140">AND($I222&lt;P$6,$I223&gt;=P$6)</f>
        <v>1</v>
      </c>
      <c r="Q224" s="4" t="b">
        <f t="shared" ref="Q224" si="141">AND($I222&lt;Q$6,$I223&gt;=Q$6)</f>
        <v>0</v>
      </c>
      <c r="R224" s="4" t="b">
        <f t="shared" ref="R224" si="142">AND($I222&lt;R$6,$I223&gt;=R$6)</f>
        <v>0</v>
      </c>
      <c r="S224" s="4" t="b">
        <f t="shared" ref="S224" si="143">AND($I222&lt;S$6,$I223&gt;=S$6)</f>
        <v>0</v>
      </c>
      <c r="T224" s="4" t="b">
        <f t="shared" ref="T224" si="144">AND($I222&lt;T$6,$I223&gt;=T$6)</f>
        <v>0</v>
      </c>
    </row>
    <row r="225" spans="4:20" outlineLevel="2" x14ac:dyDescent="0.2">
      <c r="E225" s="8"/>
      <c r="G225" s="84" t="str">
        <v>Amount</v>
      </c>
      <c r="H225" s="85"/>
      <c r="I225" s="86">
        <f>VLOOKUP(I218,D_Table,MATCH($G225,D_Headings,0),0)</f>
        <v>79215</v>
      </c>
      <c r="N225" s="4" t="s">
        <v>351</v>
      </c>
      <c r="P225" s="41" t="str">
        <f t="shared" ref="P225" si="145">$I224</f>
        <v>NIBOR</v>
      </c>
      <c r="Q225" s="41" t="str">
        <f t="shared" ref="Q225" si="146">$I224</f>
        <v>NIBOR</v>
      </c>
      <c r="R225" s="41" t="str">
        <f t="shared" ref="R225" si="147">$I224</f>
        <v>NIBOR</v>
      </c>
      <c r="S225" s="41" t="str">
        <f t="shared" ref="S225" si="148">$I224</f>
        <v>NIBOR</v>
      </c>
      <c r="T225" s="41" t="str">
        <f t="shared" ref="T225" si="149">$I224</f>
        <v>NIBOR</v>
      </c>
    </row>
    <row r="226" spans="4:20" outlineLevel="2" x14ac:dyDescent="0.2">
      <c r="E226" s="8"/>
      <c r="N226" s="4" t="s">
        <v>85</v>
      </c>
      <c r="P226" s="4">
        <f t="shared" ref="P226:T226" si="150">IF($I222&gt;0,$I223-$I222,$I223-$O$6)</f>
        <v>1</v>
      </c>
      <c r="Q226" s="4">
        <f t="shared" si="150"/>
        <v>1</v>
      </c>
      <c r="R226" s="4">
        <f t="shared" si="150"/>
        <v>1</v>
      </c>
      <c r="S226" s="4">
        <f t="shared" si="150"/>
        <v>1</v>
      </c>
      <c r="T226" s="4">
        <f t="shared" si="150"/>
        <v>1</v>
      </c>
    </row>
    <row r="227" spans="4:20" outlineLevel="2" x14ac:dyDescent="0.2">
      <c r="E227" s="8"/>
    </row>
    <row r="228" spans="4:20" outlineLevel="2" x14ac:dyDescent="0.2">
      <c r="E228" s="8"/>
      <c r="N228" s="4" t="str">
        <f t="shared" ref="N228" si="151">P225</f>
        <v>NIBOR</v>
      </c>
      <c r="P228" s="75" cm="1">
        <f t="array" ref="P228">INDEX(P$170:P$171,MATCH(P225,$D$170:$D$171,0),0)</f>
        <v>8.5000000000000006E-2</v>
      </c>
      <c r="Q228" s="75" cm="1">
        <f t="array" ref="Q228">INDEX(Q$170:Q$171,MATCH(Q225,$D$170:$D$171,0),0)</f>
        <v>8.5000000000000006E-2</v>
      </c>
      <c r="R228" s="75" cm="1">
        <f t="array" ref="R228">INDEX(R$170:R$171,MATCH(R225,$D$170:$D$171,0),0)</f>
        <v>8.5000000000000006E-2</v>
      </c>
      <c r="S228" s="75" cm="1">
        <f t="array" ref="S228">INDEX(S$170:S$171,MATCH(S225,$D$170:$D$171,0),0)</f>
        <v>8.5000000000000006E-2</v>
      </c>
      <c r="T228" s="75" cm="1">
        <f t="array" ref="T228">INDEX(T$170:T$171,MATCH(T225,$D$170:$D$171,0),0)</f>
        <v>8.5000000000000006E-2</v>
      </c>
    </row>
    <row r="229" spans="4:20" outlineLevel="2" x14ac:dyDescent="0.2">
      <c r="E229" s="8"/>
      <c r="N229" s="4" t="s">
        <v>354</v>
      </c>
      <c r="P229" s="75">
        <f t="shared" ref="P229:T229" si="152">$I221</f>
        <v>5.7000000000000002E-2</v>
      </c>
      <c r="Q229" s="75">
        <f t="shared" si="152"/>
        <v>5.7000000000000002E-2</v>
      </c>
      <c r="R229" s="75">
        <f t="shared" si="152"/>
        <v>5.7000000000000002E-2</v>
      </c>
      <c r="S229" s="75">
        <f t="shared" si="152"/>
        <v>5.7000000000000002E-2</v>
      </c>
      <c r="T229" s="75">
        <f t="shared" si="152"/>
        <v>5.7000000000000002E-2</v>
      </c>
    </row>
    <row r="230" spans="4:20" outlineLevel="2" x14ac:dyDescent="0.2">
      <c r="E230" s="8"/>
      <c r="N230" s="4" t="s">
        <v>355</v>
      </c>
      <c r="P230" s="52">
        <f t="shared" ref="P230" si="153">P228+P229</f>
        <v>0.14200000000000002</v>
      </c>
      <c r="Q230" s="52">
        <f t="shared" ref="Q230" si="154">Q228+Q229</f>
        <v>0.14200000000000002</v>
      </c>
      <c r="R230" s="52">
        <f t="shared" ref="R230" si="155">R228+R229</f>
        <v>0.14200000000000002</v>
      </c>
      <c r="S230" s="52">
        <f t="shared" ref="S230" si="156">S228+S229</f>
        <v>0.14200000000000002</v>
      </c>
      <c r="T230" s="52">
        <f t="shared" ref="T230" si="157">T228+T229</f>
        <v>0.14200000000000002</v>
      </c>
    </row>
    <row r="231" spans="4:20" outlineLevel="2" x14ac:dyDescent="0.2">
      <c r="E231" s="8"/>
    </row>
    <row r="232" spans="4:20" outlineLevel="2" x14ac:dyDescent="0.2">
      <c r="E232" s="8"/>
      <c r="N232" s="4" t="s">
        <v>203</v>
      </c>
      <c r="P232" s="4">
        <f t="shared" ref="P232:T232" si="158">AVERAGE(O221:P221)*P230</f>
        <v>5624.2650000000003</v>
      </c>
      <c r="Q232" s="4">
        <f t="shared" si="158"/>
        <v>0</v>
      </c>
      <c r="R232" s="4">
        <f t="shared" si="158"/>
        <v>0</v>
      </c>
      <c r="S232" s="4">
        <f t="shared" si="158"/>
        <v>0</v>
      </c>
      <c r="T232" s="4">
        <f t="shared" si="158"/>
        <v>0</v>
      </c>
    </row>
    <row r="233" spans="4:20" outlineLevel="2" x14ac:dyDescent="0.2">
      <c r="E233" s="8"/>
    </row>
    <row r="234" spans="4:20" ht="15" outlineLevel="2" x14ac:dyDescent="0.25">
      <c r="D234" s="72" t="str">
        <f t="shared" ref="D234" si="159">I236</f>
        <v>Letter of credit</v>
      </c>
      <c r="E234" s="8"/>
    </row>
    <row r="235" spans="4:20" outlineLevel="2" x14ac:dyDescent="0.2">
      <c r="D235" s="4" t="s">
        <v>305</v>
      </c>
      <c r="E235" s="8" t="str">
        <f t="shared" ref="E235:E238" si="160">Currency</f>
        <v>₦`m</v>
      </c>
      <c r="G235" s="76" t="str">
        <f t="array" ref="G235:G242">TRANSPOSE(D_Headings)</f>
        <v>S/N</v>
      </c>
      <c r="H235" s="77"/>
      <c r="I235" s="78">
        <v>4</v>
      </c>
      <c r="P235" s="4">
        <f t="shared" ref="P235" si="161">O238</f>
        <v>19831</v>
      </c>
      <c r="Q235" s="4">
        <f t="shared" ref="Q235" si="162">P238</f>
        <v>0</v>
      </c>
      <c r="R235" s="4">
        <f t="shared" ref="R235" si="163">Q238</f>
        <v>0</v>
      </c>
      <c r="S235" s="4">
        <f t="shared" ref="S235" si="164">R238</f>
        <v>0</v>
      </c>
      <c r="T235" s="4">
        <f t="shared" ref="T235" si="165">S238</f>
        <v>0</v>
      </c>
    </row>
    <row r="236" spans="4:20" outlineLevel="2" x14ac:dyDescent="0.2">
      <c r="D236" s="4" t="s">
        <v>323</v>
      </c>
      <c r="E236" s="8" t="str">
        <f t="shared" si="160"/>
        <v>₦`m</v>
      </c>
      <c r="G236" s="79" t="str">
        <v>Descriptions</v>
      </c>
      <c r="H236" s="80"/>
      <c r="I236" s="81" t="str">
        <f>VLOOKUP(I235,D_Table,MATCH($G236,D_Headings,0),0)</f>
        <v>Letter of credit</v>
      </c>
      <c r="P236" s="4">
        <f t="shared" ref="P236:T236" si="166">P240*$I242</f>
        <v>0</v>
      </c>
      <c r="Q236" s="4">
        <f t="shared" si="166"/>
        <v>0</v>
      </c>
      <c r="R236" s="4">
        <f t="shared" si="166"/>
        <v>0</v>
      </c>
      <c r="S236" s="4">
        <f t="shared" si="166"/>
        <v>0</v>
      </c>
      <c r="T236" s="4">
        <f t="shared" si="166"/>
        <v>0</v>
      </c>
    </row>
    <row r="237" spans="4:20" outlineLevel="2" x14ac:dyDescent="0.2">
      <c r="D237" s="4" t="s">
        <v>320</v>
      </c>
      <c r="E237" s="8" t="str">
        <f t="shared" si="160"/>
        <v>₦`m</v>
      </c>
      <c r="G237" s="79" t="str">
        <v>Types</v>
      </c>
      <c r="H237" s="80"/>
      <c r="I237" s="81" t="str">
        <f>VLOOKUP(I235,D_Table,MATCH($G237,D_Headings,0),0)</f>
        <v>Floating</v>
      </c>
      <c r="P237" s="4">
        <f t="shared" ref="P237:T237" si="167">($I242/P243)*P241</f>
        <v>19831</v>
      </c>
      <c r="Q237" s="4">
        <f t="shared" si="167"/>
        <v>0</v>
      </c>
      <c r="R237" s="4">
        <f t="shared" si="167"/>
        <v>0</v>
      </c>
      <c r="S237" s="4">
        <f t="shared" si="167"/>
        <v>0</v>
      </c>
      <c r="T237" s="4">
        <f t="shared" si="167"/>
        <v>0</v>
      </c>
    </row>
    <row r="238" spans="4:20" ht="15.75" outlineLevel="2" thickBot="1" x14ac:dyDescent="0.3">
      <c r="D238" s="4" t="s">
        <v>316</v>
      </c>
      <c r="E238" s="8" t="str">
        <f t="shared" si="160"/>
        <v>₦`m</v>
      </c>
      <c r="G238" s="79" t="str">
        <v>Rate/Spread</v>
      </c>
      <c r="H238" s="80"/>
      <c r="I238" s="82">
        <f>VLOOKUP(I235,D_Table,MATCH($G238,D_Headings,0),0)</f>
        <v>1.43E-2</v>
      </c>
      <c r="O238" s="71">
        <f t="shared" ref="O238" si="168">($I239&lt;=O$6)*$I242</f>
        <v>19831</v>
      </c>
      <c r="P238" s="73">
        <f t="shared" ref="P238" si="169">P235+P236-P237</f>
        <v>0</v>
      </c>
      <c r="Q238" s="73">
        <f t="shared" ref="Q238" si="170">Q235+Q236-Q237</f>
        <v>0</v>
      </c>
      <c r="R238" s="73">
        <f t="shared" ref="R238" si="171">R235+R236-R237</f>
        <v>0</v>
      </c>
      <c r="S238" s="73">
        <f t="shared" ref="S238" si="172">S235+S236-S237</f>
        <v>0</v>
      </c>
      <c r="T238" s="73">
        <f t="shared" ref="T238" si="173">T235+T236-T237</f>
        <v>0</v>
      </c>
    </row>
    <row r="239" spans="4:20" ht="15" outlineLevel="2" thickTop="1" x14ac:dyDescent="0.2">
      <c r="E239" s="8"/>
      <c r="G239" s="79" t="str">
        <v>Inflow Period</v>
      </c>
      <c r="H239" s="80"/>
      <c r="I239" s="83">
        <f>VLOOKUP(I235,D_Table,MATCH($G239,D_Headings,0),0)</f>
        <v>0</v>
      </c>
    </row>
    <row r="240" spans="4:20" outlineLevel="2" x14ac:dyDescent="0.2">
      <c r="E240" s="8"/>
      <c r="G240" s="79" t="str">
        <v>Rep. period</v>
      </c>
      <c r="H240" s="80"/>
      <c r="I240" s="83">
        <f>VLOOKUP(I235,D_Table,MATCH($G240,D_Headings,0),0)</f>
        <v>2021</v>
      </c>
      <c r="N240" s="4" t="s">
        <v>353</v>
      </c>
      <c r="P240" s="4" t="b">
        <f t="shared" ref="P240" si="174">P$6=$I239</f>
        <v>0</v>
      </c>
      <c r="Q240" s="4" t="b">
        <f t="shared" ref="Q240" si="175">Q$6=$I239</f>
        <v>0</v>
      </c>
      <c r="R240" s="4" t="b">
        <f t="shared" ref="R240" si="176">R$6=$I239</f>
        <v>0</v>
      </c>
      <c r="S240" s="4" t="b">
        <f t="shared" ref="S240" si="177">S$6=$I239</f>
        <v>0</v>
      </c>
      <c r="T240" s="4" t="b">
        <f t="shared" ref="T240" si="178">T$6=$I239</f>
        <v>0</v>
      </c>
    </row>
    <row r="241" spans="4:20" outlineLevel="2" x14ac:dyDescent="0.2">
      <c r="E241" s="8"/>
      <c r="G241" s="79" t="str">
        <v>Rate factor</v>
      </c>
      <c r="H241" s="80"/>
      <c r="I241" s="81" t="str">
        <f>VLOOKUP(I235,D_Table,MATCH($G241,D_Headings,0),0)</f>
        <v>NIBOR</v>
      </c>
      <c r="N241" s="4" t="s">
        <v>352</v>
      </c>
      <c r="P241" s="4" t="b">
        <f t="shared" ref="P241" si="179">AND($I239&lt;P$6,$I240&gt;=P$6)</f>
        <v>1</v>
      </c>
      <c r="Q241" s="4" t="b">
        <f t="shared" ref="Q241" si="180">AND($I239&lt;Q$6,$I240&gt;=Q$6)</f>
        <v>0</v>
      </c>
      <c r="R241" s="4" t="b">
        <f t="shared" ref="R241" si="181">AND($I239&lt;R$6,$I240&gt;=R$6)</f>
        <v>0</v>
      </c>
      <c r="S241" s="4" t="b">
        <f t="shared" ref="S241" si="182">AND($I239&lt;S$6,$I240&gt;=S$6)</f>
        <v>0</v>
      </c>
      <c r="T241" s="4" t="b">
        <f t="shared" ref="T241" si="183">AND($I239&lt;T$6,$I240&gt;=T$6)</f>
        <v>0</v>
      </c>
    </row>
    <row r="242" spans="4:20" outlineLevel="2" x14ac:dyDescent="0.2">
      <c r="E242" s="8"/>
      <c r="G242" s="84" t="str">
        <v>Amount</v>
      </c>
      <c r="H242" s="85"/>
      <c r="I242" s="86">
        <f>VLOOKUP(I235,D_Table,MATCH($G242,D_Headings,0),0)</f>
        <v>19831</v>
      </c>
      <c r="N242" s="4" t="s">
        <v>351</v>
      </c>
      <c r="P242" s="41" t="str">
        <f t="shared" ref="P242" si="184">$I241</f>
        <v>NIBOR</v>
      </c>
      <c r="Q242" s="41" t="str">
        <f t="shared" ref="Q242" si="185">$I241</f>
        <v>NIBOR</v>
      </c>
      <c r="R242" s="41" t="str">
        <f t="shared" ref="R242" si="186">$I241</f>
        <v>NIBOR</v>
      </c>
      <c r="S242" s="41" t="str">
        <f t="shared" ref="S242" si="187">$I241</f>
        <v>NIBOR</v>
      </c>
      <c r="T242" s="41" t="str">
        <f t="shared" ref="T242" si="188">$I241</f>
        <v>NIBOR</v>
      </c>
    </row>
    <row r="243" spans="4:20" outlineLevel="2" x14ac:dyDescent="0.2">
      <c r="E243" s="8"/>
      <c r="N243" s="4" t="s">
        <v>85</v>
      </c>
      <c r="P243" s="4">
        <f t="shared" ref="P243:T243" si="189">IF($I239&gt;0,$I240-$I239,$I240-$O$6)</f>
        <v>1</v>
      </c>
      <c r="Q243" s="4">
        <f t="shared" si="189"/>
        <v>1</v>
      </c>
      <c r="R243" s="4">
        <f t="shared" si="189"/>
        <v>1</v>
      </c>
      <c r="S243" s="4">
        <f t="shared" si="189"/>
        <v>1</v>
      </c>
      <c r="T243" s="4">
        <f t="shared" si="189"/>
        <v>1</v>
      </c>
    </row>
    <row r="244" spans="4:20" outlineLevel="2" x14ac:dyDescent="0.2">
      <c r="E244" s="8"/>
    </row>
    <row r="245" spans="4:20" outlineLevel="2" x14ac:dyDescent="0.2">
      <c r="E245" s="8"/>
      <c r="N245" s="4" t="str">
        <f t="shared" ref="N245" si="190">P242</f>
        <v>NIBOR</v>
      </c>
      <c r="P245" s="75" cm="1">
        <f t="array" ref="P245">INDEX(P$170:P$171,MATCH(P242,$D$170:$D$171,0),0)</f>
        <v>8.5000000000000006E-2</v>
      </c>
      <c r="Q245" s="75" cm="1">
        <f t="array" ref="Q245">INDEX(Q$170:Q$171,MATCH(Q242,$D$170:$D$171,0),0)</f>
        <v>8.5000000000000006E-2</v>
      </c>
      <c r="R245" s="75" cm="1">
        <f t="array" ref="R245">INDEX(R$170:R$171,MATCH(R242,$D$170:$D$171,0),0)</f>
        <v>8.5000000000000006E-2</v>
      </c>
      <c r="S245" s="75" cm="1">
        <f t="array" ref="S245">INDEX(S$170:S$171,MATCH(S242,$D$170:$D$171,0),0)</f>
        <v>8.5000000000000006E-2</v>
      </c>
      <c r="T245" s="75" cm="1">
        <f t="array" ref="T245">INDEX(T$170:T$171,MATCH(T242,$D$170:$D$171,0),0)</f>
        <v>8.5000000000000006E-2</v>
      </c>
    </row>
    <row r="246" spans="4:20" outlineLevel="2" x14ac:dyDescent="0.2">
      <c r="E246" s="8"/>
      <c r="N246" s="4" t="s">
        <v>354</v>
      </c>
      <c r="P246" s="75">
        <f t="shared" ref="P246:T246" si="191">$I238</f>
        <v>1.43E-2</v>
      </c>
      <c r="Q246" s="75">
        <f t="shared" si="191"/>
        <v>1.43E-2</v>
      </c>
      <c r="R246" s="75">
        <f t="shared" si="191"/>
        <v>1.43E-2</v>
      </c>
      <c r="S246" s="75">
        <f t="shared" si="191"/>
        <v>1.43E-2</v>
      </c>
      <c r="T246" s="75">
        <f t="shared" si="191"/>
        <v>1.43E-2</v>
      </c>
    </row>
    <row r="247" spans="4:20" outlineLevel="2" x14ac:dyDescent="0.2">
      <c r="E247" s="8"/>
      <c r="N247" s="4" t="s">
        <v>355</v>
      </c>
      <c r="P247" s="52">
        <f t="shared" ref="P247" si="192">P245+P246</f>
        <v>9.9299999999999999E-2</v>
      </c>
      <c r="Q247" s="52">
        <f t="shared" ref="Q247" si="193">Q245+Q246</f>
        <v>9.9299999999999999E-2</v>
      </c>
      <c r="R247" s="52">
        <f t="shared" ref="R247" si="194">R245+R246</f>
        <v>9.9299999999999999E-2</v>
      </c>
      <c r="S247" s="52">
        <f t="shared" ref="S247" si="195">S245+S246</f>
        <v>9.9299999999999999E-2</v>
      </c>
      <c r="T247" s="52">
        <f t="shared" ref="T247" si="196">T245+T246</f>
        <v>9.9299999999999999E-2</v>
      </c>
    </row>
    <row r="248" spans="4:20" outlineLevel="2" x14ac:dyDescent="0.2">
      <c r="E248" s="8"/>
    </row>
    <row r="249" spans="4:20" outlineLevel="2" x14ac:dyDescent="0.2">
      <c r="E249" s="8"/>
      <c r="N249" s="4" t="s">
        <v>203</v>
      </c>
      <c r="P249" s="4">
        <f t="shared" ref="P249:T249" si="197">AVERAGE(O238:P238)*P247</f>
        <v>984.60915</v>
      </c>
      <c r="Q249" s="4">
        <f t="shared" si="197"/>
        <v>0</v>
      </c>
      <c r="R249" s="4">
        <f t="shared" si="197"/>
        <v>0</v>
      </c>
      <c r="S249" s="4">
        <f t="shared" si="197"/>
        <v>0</v>
      </c>
      <c r="T249" s="4">
        <f t="shared" si="197"/>
        <v>0</v>
      </c>
    </row>
    <row r="250" spans="4:20" outlineLevel="2" x14ac:dyDescent="0.2">
      <c r="E250" s="8"/>
    </row>
    <row r="251" spans="4:20" ht="15" outlineLevel="2" x14ac:dyDescent="0.25">
      <c r="D251" s="72" t="str">
        <f t="shared" ref="D251" si="198">I253</f>
        <v>KFW/Citibank</v>
      </c>
      <c r="E251" s="8"/>
    </row>
    <row r="252" spans="4:20" outlineLevel="2" x14ac:dyDescent="0.2">
      <c r="D252" s="4" t="s">
        <v>305</v>
      </c>
      <c r="E252" s="8" t="str">
        <f t="shared" ref="E252:E255" si="199">Currency</f>
        <v>₦`m</v>
      </c>
      <c r="G252" s="76" t="str">
        <f t="array" ref="G252:G259">TRANSPOSE(D_Headings)</f>
        <v>S/N</v>
      </c>
      <c r="H252" s="77"/>
      <c r="I252" s="78">
        <v>5</v>
      </c>
      <c r="P252" s="4">
        <f t="shared" ref="P252" si="200">O255</f>
        <v>9353</v>
      </c>
      <c r="Q252" s="4">
        <f t="shared" ref="Q252" si="201">P255</f>
        <v>4676.5</v>
      </c>
      <c r="R252" s="4">
        <f t="shared" ref="R252" si="202">Q255</f>
        <v>0</v>
      </c>
      <c r="S252" s="4">
        <f t="shared" ref="S252" si="203">R255</f>
        <v>0</v>
      </c>
      <c r="T252" s="4">
        <f t="shared" ref="T252" si="204">S255</f>
        <v>0</v>
      </c>
    </row>
    <row r="253" spans="4:20" outlineLevel="2" x14ac:dyDescent="0.2">
      <c r="D253" s="4" t="s">
        <v>323</v>
      </c>
      <c r="E253" s="8" t="str">
        <f t="shared" si="199"/>
        <v>₦`m</v>
      </c>
      <c r="G253" s="79" t="str">
        <v>Descriptions</v>
      </c>
      <c r="H253" s="80"/>
      <c r="I253" s="81" t="str">
        <f>VLOOKUP(I252,D_Table,MATCH($G253,D_Headings,0),0)</f>
        <v>KFW/Citibank</v>
      </c>
      <c r="P253" s="4">
        <f t="shared" ref="P253:T253" si="205">P257*$I259</f>
        <v>0</v>
      </c>
      <c r="Q253" s="4">
        <f t="shared" si="205"/>
        <v>0</v>
      </c>
      <c r="R253" s="4">
        <f t="shared" si="205"/>
        <v>0</v>
      </c>
      <c r="S253" s="4">
        <f t="shared" si="205"/>
        <v>0</v>
      </c>
      <c r="T253" s="4">
        <f t="shared" si="205"/>
        <v>0</v>
      </c>
    </row>
    <row r="254" spans="4:20" outlineLevel="2" x14ac:dyDescent="0.2">
      <c r="D254" s="4" t="s">
        <v>320</v>
      </c>
      <c r="E254" s="8" t="str">
        <f t="shared" si="199"/>
        <v>₦`m</v>
      </c>
      <c r="G254" s="79" t="str">
        <v>Types</v>
      </c>
      <c r="H254" s="80"/>
      <c r="I254" s="81" t="str">
        <f>VLOOKUP(I252,D_Table,MATCH($G254,D_Headings,0),0)</f>
        <v>Floating</v>
      </c>
      <c r="P254" s="4">
        <f t="shared" ref="P254:T254" si="206">($I259/P260)*P258</f>
        <v>4676.5</v>
      </c>
      <c r="Q254" s="4">
        <f t="shared" si="206"/>
        <v>4676.5</v>
      </c>
      <c r="R254" s="4">
        <f t="shared" si="206"/>
        <v>0</v>
      </c>
      <c r="S254" s="4">
        <f t="shared" si="206"/>
        <v>0</v>
      </c>
      <c r="T254" s="4">
        <f t="shared" si="206"/>
        <v>0</v>
      </c>
    </row>
    <row r="255" spans="4:20" ht="15.75" outlineLevel="2" thickBot="1" x14ac:dyDescent="0.3">
      <c r="D255" s="4" t="s">
        <v>316</v>
      </c>
      <c r="E255" s="8" t="str">
        <f t="shared" si="199"/>
        <v>₦`m</v>
      </c>
      <c r="G255" s="79" t="str">
        <v>Rate/Spread</v>
      </c>
      <c r="H255" s="80"/>
      <c r="I255" s="82">
        <f>VLOOKUP(I252,D_Table,MATCH($G255,D_Headings,0),0)</f>
        <v>1.43E-2</v>
      </c>
      <c r="O255" s="71">
        <f t="shared" ref="O255" si="207">($I256&lt;=O$6)*$I259</f>
        <v>9353</v>
      </c>
      <c r="P255" s="73">
        <f t="shared" ref="P255" si="208">P252+P253-P254</f>
        <v>4676.5</v>
      </c>
      <c r="Q255" s="73">
        <f t="shared" ref="Q255" si="209">Q252+Q253-Q254</f>
        <v>0</v>
      </c>
      <c r="R255" s="73">
        <f t="shared" ref="R255" si="210">R252+R253-R254</f>
        <v>0</v>
      </c>
      <c r="S255" s="73">
        <f t="shared" ref="S255" si="211">S252+S253-S254</f>
        <v>0</v>
      </c>
      <c r="T255" s="73">
        <f t="shared" ref="T255" si="212">T252+T253-T254</f>
        <v>0</v>
      </c>
    </row>
    <row r="256" spans="4:20" ht="15" outlineLevel="2" thickTop="1" x14ac:dyDescent="0.2">
      <c r="E256" s="8"/>
      <c r="G256" s="79" t="str">
        <v>Inflow Period</v>
      </c>
      <c r="H256" s="80"/>
      <c r="I256" s="83">
        <f>VLOOKUP(I252,D_Table,MATCH($G256,D_Headings,0),0)</f>
        <v>0</v>
      </c>
    </row>
    <row r="257" spans="4:20" outlineLevel="2" x14ac:dyDescent="0.2">
      <c r="E257" s="8"/>
      <c r="G257" s="79" t="str">
        <v>Rep. period</v>
      </c>
      <c r="H257" s="80"/>
      <c r="I257" s="83">
        <f>VLOOKUP(I252,D_Table,MATCH($G257,D_Headings,0),0)</f>
        <v>2022</v>
      </c>
      <c r="N257" s="4" t="s">
        <v>353</v>
      </c>
      <c r="P257" s="4" t="b">
        <f t="shared" ref="P257" si="213">P$6=$I256</f>
        <v>0</v>
      </c>
      <c r="Q257" s="4" t="b">
        <f t="shared" ref="Q257" si="214">Q$6=$I256</f>
        <v>0</v>
      </c>
      <c r="R257" s="4" t="b">
        <f t="shared" ref="R257" si="215">R$6=$I256</f>
        <v>0</v>
      </c>
      <c r="S257" s="4" t="b">
        <f t="shared" ref="S257" si="216">S$6=$I256</f>
        <v>0</v>
      </c>
      <c r="T257" s="4" t="b">
        <f t="shared" ref="T257" si="217">T$6=$I256</f>
        <v>0</v>
      </c>
    </row>
    <row r="258" spans="4:20" outlineLevel="2" x14ac:dyDescent="0.2">
      <c r="E258" s="8"/>
      <c r="G258" s="79" t="str">
        <v>Rate factor</v>
      </c>
      <c r="H258" s="80"/>
      <c r="I258" s="81" t="str">
        <f>VLOOKUP(I252,D_Table,MATCH($G258,D_Headings,0),0)</f>
        <v>LIBOR</v>
      </c>
      <c r="N258" s="4" t="s">
        <v>352</v>
      </c>
      <c r="P258" s="4" t="b">
        <f t="shared" ref="P258" si="218">AND($I256&lt;P$6,$I257&gt;=P$6)</f>
        <v>1</v>
      </c>
      <c r="Q258" s="4" t="b">
        <f t="shared" ref="Q258" si="219">AND($I256&lt;Q$6,$I257&gt;=Q$6)</f>
        <v>1</v>
      </c>
      <c r="R258" s="4" t="b">
        <f t="shared" ref="R258" si="220">AND($I256&lt;R$6,$I257&gt;=R$6)</f>
        <v>0</v>
      </c>
      <c r="S258" s="4" t="b">
        <f t="shared" ref="S258" si="221">AND($I256&lt;S$6,$I257&gt;=S$6)</f>
        <v>0</v>
      </c>
      <c r="T258" s="4" t="b">
        <f t="shared" ref="T258" si="222">AND($I256&lt;T$6,$I257&gt;=T$6)</f>
        <v>0</v>
      </c>
    </row>
    <row r="259" spans="4:20" outlineLevel="2" x14ac:dyDescent="0.2">
      <c r="E259" s="8"/>
      <c r="G259" s="84" t="str">
        <v>Amount</v>
      </c>
      <c r="H259" s="85"/>
      <c r="I259" s="86">
        <f>VLOOKUP(I252,D_Table,MATCH($G259,D_Headings,0),0)</f>
        <v>9353</v>
      </c>
      <c r="N259" s="4" t="s">
        <v>351</v>
      </c>
      <c r="P259" s="41" t="str">
        <f t="shared" ref="P259" si="223">$I258</f>
        <v>LIBOR</v>
      </c>
      <c r="Q259" s="41" t="str">
        <f t="shared" ref="Q259" si="224">$I258</f>
        <v>LIBOR</v>
      </c>
      <c r="R259" s="41" t="str">
        <f t="shared" ref="R259" si="225">$I258</f>
        <v>LIBOR</v>
      </c>
      <c r="S259" s="41" t="str">
        <f t="shared" ref="S259" si="226">$I258</f>
        <v>LIBOR</v>
      </c>
      <c r="T259" s="41" t="str">
        <f t="shared" ref="T259" si="227">$I258</f>
        <v>LIBOR</v>
      </c>
    </row>
    <row r="260" spans="4:20" outlineLevel="2" x14ac:dyDescent="0.2">
      <c r="E260" s="8"/>
      <c r="N260" s="4" t="s">
        <v>85</v>
      </c>
      <c r="P260" s="4">
        <f t="shared" ref="P260:T260" si="228">IF($I256&gt;0,$I257-$I256,$I257-$O$6)</f>
        <v>2</v>
      </c>
      <c r="Q260" s="4">
        <f t="shared" si="228"/>
        <v>2</v>
      </c>
      <c r="R260" s="4">
        <f t="shared" si="228"/>
        <v>2</v>
      </c>
      <c r="S260" s="4">
        <f t="shared" si="228"/>
        <v>2</v>
      </c>
      <c r="T260" s="4">
        <f t="shared" si="228"/>
        <v>2</v>
      </c>
    </row>
    <row r="261" spans="4:20" outlineLevel="2" x14ac:dyDescent="0.2">
      <c r="E261" s="8"/>
    </row>
    <row r="262" spans="4:20" outlineLevel="2" x14ac:dyDescent="0.2">
      <c r="E262" s="8"/>
      <c r="N262" s="4" t="str">
        <f t="shared" ref="N262" si="229">P259</f>
        <v>LIBOR</v>
      </c>
      <c r="P262" s="75" cm="1">
        <f t="array" ref="P262">INDEX(P$170:P$171,MATCH(P259,$D$170:$D$171,0),0)</f>
        <v>2.3599999999999999E-2</v>
      </c>
      <c r="Q262" s="75" cm="1">
        <f t="array" ref="Q262">INDEX(Q$170:Q$171,MATCH(Q259,$D$170:$D$171,0),0)</f>
        <v>2.3599999999999999E-2</v>
      </c>
      <c r="R262" s="75" cm="1">
        <f t="array" ref="R262">INDEX(R$170:R$171,MATCH(R259,$D$170:$D$171,0),0)</f>
        <v>2.3599999999999999E-2</v>
      </c>
      <c r="S262" s="75" cm="1">
        <f t="array" ref="S262">INDEX(S$170:S$171,MATCH(S259,$D$170:$D$171,0),0)</f>
        <v>2.3599999999999999E-2</v>
      </c>
      <c r="T262" s="75" cm="1">
        <f t="array" ref="T262">INDEX(T$170:T$171,MATCH(T259,$D$170:$D$171,0),0)</f>
        <v>2.3599999999999999E-2</v>
      </c>
    </row>
    <row r="263" spans="4:20" outlineLevel="2" x14ac:dyDescent="0.2">
      <c r="E263" s="8"/>
      <c r="N263" s="4" t="s">
        <v>354</v>
      </c>
      <c r="P263" s="75">
        <f t="shared" ref="P263:T263" si="230">$I255</f>
        <v>1.43E-2</v>
      </c>
      <c r="Q263" s="75">
        <f t="shared" si="230"/>
        <v>1.43E-2</v>
      </c>
      <c r="R263" s="75">
        <f t="shared" si="230"/>
        <v>1.43E-2</v>
      </c>
      <c r="S263" s="75">
        <f t="shared" si="230"/>
        <v>1.43E-2</v>
      </c>
      <c r="T263" s="75">
        <f t="shared" si="230"/>
        <v>1.43E-2</v>
      </c>
    </row>
    <row r="264" spans="4:20" outlineLevel="2" x14ac:dyDescent="0.2">
      <c r="E264" s="8"/>
      <c r="N264" s="4" t="s">
        <v>355</v>
      </c>
      <c r="P264" s="52">
        <f t="shared" ref="P264" si="231">P262+P263</f>
        <v>3.7900000000000003E-2</v>
      </c>
      <c r="Q264" s="52">
        <f t="shared" ref="Q264" si="232">Q262+Q263</f>
        <v>3.7900000000000003E-2</v>
      </c>
      <c r="R264" s="52">
        <f t="shared" ref="R264" si="233">R262+R263</f>
        <v>3.7900000000000003E-2</v>
      </c>
      <c r="S264" s="52">
        <f t="shared" ref="S264" si="234">S262+S263</f>
        <v>3.7900000000000003E-2</v>
      </c>
      <c r="T264" s="52">
        <f t="shared" ref="T264" si="235">T262+T263</f>
        <v>3.7900000000000003E-2</v>
      </c>
    </row>
    <row r="265" spans="4:20" outlineLevel="2" x14ac:dyDescent="0.2">
      <c r="E265" s="8"/>
    </row>
    <row r="266" spans="4:20" outlineLevel="2" x14ac:dyDescent="0.2">
      <c r="E266" s="8"/>
      <c r="N266" s="4" t="s">
        <v>203</v>
      </c>
      <c r="P266" s="4">
        <f t="shared" ref="P266:T266" si="236">AVERAGE(O255:P255)*P264</f>
        <v>265.85902500000003</v>
      </c>
      <c r="Q266" s="4">
        <f t="shared" si="236"/>
        <v>88.619675000000001</v>
      </c>
      <c r="R266" s="4">
        <f t="shared" si="236"/>
        <v>0</v>
      </c>
      <c r="S266" s="4">
        <f t="shared" si="236"/>
        <v>0</v>
      </c>
      <c r="T266" s="4">
        <f t="shared" si="236"/>
        <v>0</v>
      </c>
    </row>
    <row r="267" spans="4:20" outlineLevel="2" x14ac:dyDescent="0.2">
      <c r="E267" s="8"/>
    </row>
    <row r="268" spans="4:20" ht="15" outlineLevel="2" x14ac:dyDescent="0.25">
      <c r="D268" s="72" t="str">
        <f t="shared" ref="D268" si="237">I270</f>
        <v>Credit Suisse</v>
      </c>
      <c r="E268" s="8"/>
    </row>
    <row r="269" spans="4:20" outlineLevel="2" x14ac:dyDescent="0.2">
      <c r="D269" s="4" t="s">
        <v>305</v>
      </c>
      <c r="E269" s="8" t="str">
        <f t="shared" ref="E269:E272" si="238">Currency</f>
        <v>₦`m</v>
      </c>
      <c r="G269" s="76" t="str">
        <f t="array" ref="G269:G276">TRANSPOSE(D_Headings)</f>
        <v>S/N</v>
      </c>
      <c r="H269" s="77"/>
      <c r="I269" s="78">
        <v>6</v>
      </c>
      <c r="P269" s="4">
        <f t="shared" ref="P269" si="239">O272</f>
        <v>4544</v>
      </c>
      <c r="Q269" s="4">
        <f t="shared" ref="Q269" si="240">P272</f>
        <v>2272</v>
      </c>
      <c r="R269" s="4">
        <f t="shared" ref="R269" si="241">Q272</f>
        <v>0</v>
      </c>
      <c r="S269" s="4">
        <f t="shared" ref="S269" si="242">R272</f>
        <v>0</v>
      </c>
      <c r="T269" s="4">
        <f t="shared" ref="T269" si="243">S272</f>
        <v>0</v>
      </c>
    </row>
    <row r="270" spans="4:20" outlineLevel="2" x14ac:dyDescent="0.2">
      <c r="D270" s="4" t="s">
        <v>323</v>
      </c>
      <c r="E270" s="8" t="str">
        <f t="shared" si="238"/>
        <v>₦`m</v>
      </c>
      <c r="G270" s="79" t="str">
        <v>Descriptions</v>
      </c>
      <c r="H270" s="80"/>
      <c r="I270" s="81" t="str">
        <f>VLOOKUP(I269,D_Table,MATCH($G270,D_Headings,0),0)</f>
        <v>Credit Suisse</v>
      </c>
      <c r="P270" s="4">
        <f t="shared" ref="P270:T270" si="244">P274*$I276</f>
        <v>0</v>
      </c>
      <c r="Q270" s="4">
        <f t="shared" si="244"/>
        <v>0</v>
      </c>
      <c r="R270" s="4">
        <f t="shared" si="244"/>
        <v>0</v>
      </c>
      <c r="S270" s="4">
        <f t="shared" si="244"/>
        <v>0</v>
      </c>
      <c r="T270" s="4">
        <f t="shared" si="244"/>
        <v>0</v>
      </c>
    </row>
    <row r="271" spans="4:20" outlineLevel="2" x14ac:dyDescent="0.2">
      <c r="D271" s="4" t="s">
        <v>320</v>
      </c>
      <c r="E271" s="8" t="str">
        <f t="shared" si="238"/>
        <v>₦`m</v>
      </c>
      <c r="G271" s="79" t="str">
        <v>Types</v>
      </c>
      <c r="H271" s="80"/>
      <c r="I271" s="81" t="str">
        <f>VLOOKUP(I269,D_Table,MATCH($G271,D_Headings,0),0)</f>
        <v>Floating</v>
      </c>
      <c r="P271" s="4">
        <f t="shared" ref="P271:T271" si="245">($I276/P277)*P275</f>
        <v>2272</v>
      </c>
      <c r="Q271" s="4">
        <f t="shared" si="245"/>
        <v>2272</v>
      </c>
      <c r="R271" s="4">
        <f t="shared" si="245"/>
        <v>0</v>
      </c>
      <c r="S271" s="4">
        <f t="shared" si="245"/>
        <v>0</v>
      </c>
      <c r="T271" s="4">
        <f t="shared" si="245"/>
        <v>0</v>
      </c>
    </row>
    <row r="272" spans="4:20" ht="15.75" outlineLevel="2" thickBot="1" x14ac:dyDescent="0.3">
      <c r="D272" s="4" t="s">
        <v>316</v>
      </c>
      <c r="E272" s="8" t="str">
        <f t="shared" si="238"/>
        <v>₦`m</v>
      </c>
      <c r="G272" s="79" t="str">
        <v>Rate/Spread</v>
      </c>
      <c r="H272" s="80"/>
      <c r="I272" s="82">
        <f>VLOOKUP(I269,D_Table,MATCH($G272,D_Headings,0),0)</f>
        <v>5.7599999999999998E-2</v>
      </c>
      <c r="O272" s="71">
        <f t="shared" ref="O272" si="246">($I273&lt;=O$6)*$I276</f>
        <v>4544</v>
      </c>
      <c r="P272" s="73">
        <f t="shared" ref="P272" si="247">P269+P270-P271</f>
        <v>2272</v>
      </c>
      <c r="Q272" s="73">
        <f t="shared" ref="Q272" si="248">Q269+Q270-Q271</f>
        <v>0</v>
      </c>
      <c r="R272" s="73">
        <f t="shared" ref="R272" si="249">R269+R270-R271</f>
        <v>0</v>
      </c>
      <c r="S272" s="73">
        <f t="shared" ref="S272" si="250">S269+S270-S271</f>
        <v>0</v>
      </c>
      <c r="T272" s="73">
        <f t="shared" ref="T272" si="251">T269+T270-T271</f>
        <v>0</v>
      </c>
    </row>
    <row r="273" spans="4:20" ht="15" outlineLevel="2" thickTop="1" x14ac:dyDescent="0.2">
      <c r="E273" s="8"/>
      <c r="G273" s="79" t="str">
        <v>Inflow Period</v>
      </c>
      <c r="H273" s="80"/>
      <c r="I273" s="83">
        <f>VLOOKUP(I269,D_Table,MATCH($G273,D_Headings,0),0)</f>
        <v>0</v>
      </c>
    </row>
    <row r="274" spans="4:20" outlineLevel="2" x14ac:dyDescent="0.2">
      <c r="E274" s="8"/>
      <c r="G274" s="79" t="str">
        <v>Rep. period</v>
      </c>
      <c r="H274" s="80"/>
      <c r="I274" s="83">
        <f>VLOOKUP(I269,D_Table,MATCH($G274,D_Headings,0),0)</f>
        <v>2022</v>
      </c>
      <c r="N274" s="4" t="s">
        <v>353</v>
      </c>
      <c r="P274" s="4" t="b">
        <f t="shared" ref="P274" si="252">P$6=$I273</f>
        <v>0</v>
      </c>
      <c r="Q274" s="4" t="b">
        <f t="shared" ref="Q274" si="253">Q$6=$I273</f>
        <v>0</v>
      </c>
      <c r="R274" s="4" t="b">
        <f t="shared" ref="R274" si="254">R$6=$I273</f>
        <v>0</v>
      </c>
      <c r="S274" s="4" t="b">
        <f t="shared" ref="S274" si="255">S$6=$I273</f>
        <v>0</v>
      </c>
      <c r="T274" s="4" t="b">
        <f t="shared" ref="T274" si="256">T$6=$I273</f>
        <v>0</v>
      </c>
    </row>
    <row r="275" spans="4:20" outlineLevel="2" x14ac:dyDescent="0.2">
      <c r="E275" s="8"/>
      <c r="G275" s="79" t="str">
        <v>Rate factor</v>
      </c>
      <c r="H275" s="80"/>
      <c r="I275" s="81" t="str">
        <f>VLOOKUP(I269,D_Table,MATCH($G275,D_Headings,0),0)</f>
        <v>LIBOR</v>
      </c>
      <c r="N275" s="4" t="s">
        <v>352</v>
      </c>
      <c r="P275" s="4" t="b">
        <f t="shared" ref="P275" si="257">AND($I273&lt;P$6,$I274&gt;=P$6)</f>
        <v>1</v>
      </c>
      <c r="Q275" s="4" t="b">
        <f t="shared" ref="Q275" si="258">AND($I273&lt;Q$6,$I274&gt;=Q$6)</f>
        <v>1</v>
      </c>
      <c r="R275" s="4" t="b">
        <f t="shared" ref="R275" si="259">AND($I273&lt;R$6,$I274&gt;=R$6)</f>
        <v>0</v>
      </c>
      <c r="S275" s="4" t="b">
        <f t="shared" ref="S275" si="260">AND($I273&lt;S$6,$I274&gt;=S$6)</f>
        <v>0</v>
      </c>
      <c r="T275" s="4" t="b">
        <f t="shared" ref="T275" si="261">AND($I273&lt;T$6,$I274&gt;=T$6)</f>
        <v>0</v>
      </c>
    </row>
    <row r="276" spans="4:20" outlineLevel="2" x14ac:dyDescent="0.2">
      <c r="E276" s="8"/>
      <c r="G276" s="84" t="str">
        <v>Amount</v>
      </c>
      <c r="H276" s="85"/>
      <c r="I276" s="86">
        <f>VLOOKUP(I269,D_Table,MATCH($G276,D_Headings,0),0)</f>
        <v>4544</v>
      </c>
      <c r="N276" s="4" t="s">
        <v>351</v>
      </c>
      <c r="P276" s="41" t="str">
        <f t="shared" ref="P276" si="262">$I275</f>
        <v>LIBOR</v>
      </c>
      <c r="Q276" s="41" t="str">
        <f t="shared" ref="Q276" si="263">$I275</f>
        <v>LIBOR</v>
      </c>
      <c r="R276" s="41" t="str">
        <f t="shared" ref="R276" si="264">$I275</f>
        <v>LIBOR</v>
      </c>
      <c r="S276" s="41" t="str">
        <f t="shared" ref="S276" si="265">$I275</f>
        <v>LIBOR</v>
      </c>
      <c r="T276" s="41" t="str">
        <f t="shared" ref="T276" si="266">$I275</f>
        <v>LIBOR</v>
      </c>
    </row>
    <row r="277" spans="4:20" outlineLevel="2" x14ac:dyDescent="0.2">
      <c r="E277" s="8"/>
      <c r="N277" s="4" t="s">
        <v>85</v>
      </c>
      <c r="P277" s="4">
        <f t="shared" ref="P277:T277" si="267">IF($I273&gt;0,$I274-$I273,$I274-$O$6)</f>
        <v>2</v>
      </c>
      <c r="Q277" s="4">
        <f t="shared" si="267"/>
        <v>2</v>
      </c>
      <c r="R277" s="4">
        <f t="shared" si="267"/>
        <v>2</v>
      </c>
      <c r="S277" s="4">
        <f t="shared" si="267"/>
        <v>2</v>
      </c>
      <c r="T277" s="4">
        <f t="shared" si="267"/>
        <v>2</v>
      </c>
    </row>
    <row r="278" spans="4:20" outlineLevel="2" x14ac:dyDescent="0.2">
      <c r="E278" s="8"/>
    </row>
    <row r="279" spans="4:20" outlineLevel="2" x14ac:dyDescent="0.2">
      <c r="E279" s="8"/>
      <c r="N279" s="4" t="str">
        <f t="shared" ref="N279" si="268">P276</f>
        <v>LIBOR</v>
      </c>
      <c r="P279" s="75" cm="1">
        <f t="array" ref="P279">INDEX(P$170:P$171,MATCH(P276,$D$170:$D$171,0),0)</f>
        <v>2.3599999999999999E-2</v>
      </c>
      <c r="Q279" s="75" cm="1">
        <f t="array" ref="Q279">INDEX(Q$170:Q$171,MATCH(Q276,$D$170:$D$171,0),0)</f>
        <v>2.3599999999999999E-2</v>
      </c>
      <c r="R279" s="75" cm="1">
        <f t="array" ref="R279">INDEX(R$170:R$171,MATCH(R276,$D$170:$D$171,0),0)</f>
        <v>2.3599999999999999E-2</v>
      </c>
      <c r="S279" s="75" cm="1">
        <f t="array" ref="S279">INDEX(S$170:S$171,MATCH(S276,$D$170:$D$171,0),0)</f>
        <v>2.3599999999999999E-2</v>
      </c>
      <c r="T279" s="75" cm="1">
        <f t="array" ref="T279">INDEX(T$170:T$171,MATCH(T276,$D$170:$D$171,0),0)</f>
        <v>2.3599999999999999E-2</v>
      </c>
    </row>
    <row r="280" spans="4:20" outlineLevel="2" x14ac:dyDescent="0.2">
      <c r="E280" s="8"/>
      <c r="N280" s="4" t="s">
        <v>354</v>
      </c>
      <c r="P280" s="75">
        <f t="shared" ref="P280:T280" si="269">$I272</f>
        <v>5.7599999999999998E-2</v>
      </c>
      <c r="Q280" s="75">
        <f t="shared" si="269"/>
        <v>5.7599999999999998E-2</v>
      </c>
      <c r="R280" s="75">
        <f t="shared" si="269"/>
        <v>5.7599999999999998E-2</v>
      </c>
      <c r="S280" s="75">
        <f t="shared" si="269"/>
        <v>5.7599999999999998E-2</v>
      </c>
      <c r="T280" s="75">
        <f t="shared" si="269"/>
        <v>5.7599999999999998E-2</v>
      </c>
    </row>
    <row r="281" spans="4:20" outlineLevel="2" x14ac:dyDescent="0.2">
      <c r="E281" s="8"/>
      <c r="N281" s="4" t="s">
        <v>355</v>
      </c>
      <c r="P281" s="52">
        <f t="shared" ref="P281" si="270">P279+P280</f>
        <v>8.1199999999999994E-2</v>
      </c>
      <c r="Q281" s="52">
        <f t="shared" ref="Q281" si="271">Q279+Q280</f>
        <v>8.1199999999999994E-2</v>
      </c>
      <c r="R281" s="52">
        <f t="shared" ref="R281" si="272">R279+R280</f>
        <v>8.1199999999999994E-2</v>
      </c>
      <c r="S281" s="52">
        <f t="shared" ref="S281" si="273">S279+S280</f>
        <v>8.1199999999999994E-2</v>
      </c>
      <c r="T281" s="52">
        <f t="shared" ref="T281" si="274">T279+T280</f>
        <v>8.1199999999999994E-2</v>
      </c>
    </row>
    <row r="282" spans="4:20" outlineLevel="2" x14ac:dyDescent="0.2">
      <c r="E282" s="8"/>
    </row>
    <row r="283" spans="4:20" outlineLevel="2" x14ac:dyDescent="0.2">
      <c r="E283" s="8"/>
      <c r="N283" s="4" t="s">
        <v>203</v>
      </c>
      <c r="P283" s="4">
        <f t="shared" ref="P283:T283" si="275">AVERAGE(O272:P272)*P281</f>
        <v>276.7296</v>
      </c>
      <c r="Q283" s="4">
        <f t="shared" si="275"/>
        <v>92.243199999999987</v>
      </c>
      <c r="R283" s="4">
        <f t="shared" si="275"/>
        <v>0</v>
      </c>
      <c r="S283" s="4">
        <f t="shared" si="275"/>
        <v>0</v>
      </c>
      <c r="T283" s="4">
        <f t="shared" si="275"/>
        <v>0</v>
      </c>
    </row>
    <row r="284" spans="4:20" outlineLevel="2" x14ac:dyDescent="0.2">
      <c r="E284" s="8"/>
    </row>
    <row r="285" spans="4:20" ht="15" outlineLevel="2" x14ac:dyDescent="0.25">
      <c r="D285" s="72" t="str">
        <f t="shared" ref="D285" si="276">I287</f>
        <v>Credit Suisse 2</v>
      </c>
      <c r="E285" s="8"/>
    </row>
    <row r="286" spans="4:20" outlineLevel="2" x14ac:dyDescent="0.2">
      <c r="D286" s="4" t="s">
        <v>305</v>
      </c>
      <c r="E286" s="8" t="str">
        <f t="shared" ref="E286:E289" si="277">Currency</f>
        <v>₦`m</v>
      </c>
      <c r="G286" s="76" t="str">
        <f t="array" ref="G286:G293">TRANSPOSE(D_Headings)</f>
        <v>S/N</v>
      </c>
      <c r="H286" s="77"/>
      <c r="I286" s="78">
        <v>7</v>
      </c>
      <c r="P286" s="4">
        <f t="shared" ref="P286" si="278">O289</f>
        <v>8420</v>
      </c>
      <c r="Q286" s="4">
        <f t="shared" ref="Q286" si="279">P289</f>
        <v>4210</v>
      </c>
      <c r="R286" s="4">
        <f t="shared" ref="R286" si="280">Q289</f>
        <v>0</v>
      </c>
      <c r="S286" s="4">
        <f t="shared" ref="S286" si="281">R289</f>
        <v>0</v>
      </c>
      <c r="T286" s="4">
        <f t="shared" ref="T286" si="282">S289</f>
        <v>0</v>
      </c>
    </row>
    <row r="287" spans="4:20" outlineLevel="2" x14ac:dyDescent="0.2">
      <c r="D287" s="4" t="s">
        <v>323</v>
      </c>
      <c r="E287" s="8" t="str">
        <f t="shared" si="277"/>
        <v>₦`m</v>
      </c>
      <c r="G287" s="79" t="str">
        <v>Descriptions</v>
      </c>
      <c r="H287" s="80"/>
      <c r="I287" s="81" t="str">
        <f>VLOOKUP(I286,D_Table,MATCH($G287,D_Headings,0),0)</f>
        <v>Credit Suisse 2</v>
      </c>
      <c r="P287" s="4">
        <f t="shared" ref="P287:T287" si="283">P291*$I293</f>
        <v>0</v>
      </c>
      <c r="Q287" s="4">
        <f t="shared" si="283"/>
        <v>0</v>
      </c>
      <c r="R287" s="4">
        <f t="shared" si="283"/>
        <v>0</v>
      </c>
      <c r="S287" s="4">
        <f t="shared" si="283"/>
        <v>0</v>
      </c>
      <c r="T287" s="4">
        <f t="shared" si="283"/>
        <v>0</v>
      </c>
    </row>
    <row r="288" spans="4:20" outlineLevel="2" x14ac:dyDescent="0.2">
      <c r="D288" s="4" t="s">
        <v>320</v>
      </c>
      <c r="E288" s="8" t="str">
        <f t="shared" si="277"/>
        <v>₦`m</v>
      </c>
      <c r="G288" s="79" t="str">
        <v>Types</v>
      </c>
      <c r="H288" s="80"/>
      <c r="I288" s="81" t="str">
        <f>VLOOKUP(I286,D_Table,MATCH($G288,D_Headings,0),0)</f>
        <v>Floating</v>
      </c>
      <c r="P288" s="4">
        <f t="shared" ref="P288:T288" si="284">($I293/P294)*P292</f>
        <v>4210</v>
      </c>
      <c r="Q288" s="4">
        <f t="shared" si="284"/>
        <v>4210</v>
      </c>
      <c r="R288" s="4">
        <f t="shared" si="284"/>
        <v>0</v>
      </c>
      <c r="S288" s="4">
        <f t="shared" si="284"/>
        <v>0</v>
      </c>
      <c r="T288" s="4">
        <f t="shared" si="284"/>
        <v>0</v>
      </c>
    </row>
    <row r="289" spans="4:20" ht="15.75" outlineLevel="2" thickBot="1" x14ac:dyDescent="0.3">
      <c r="D289" s="4" t="s">
        <v>316</v>
      </c>
      <c r="E289" s="8" t="str">
        <f t="shared" si="277"/>
        <v>₦`m</v>
      </c>
      <c r="G289" s="79" t="str">
        <v>Rate/Spread</v>
      </c>
      <c r="H289" s="80"/>
      <c r="I289" s="82">
        <f>VLOOKUP(I286,D_Table,MATCH($G289,D_Headings,0),0)</f>
        <v>5.7599999999999998E-2</v>
      </c>
      <c r="O289" s="71">
        <f t="shared" ref="O289" si="285">($I290&lt;=O$6)*$I293</f>
        <v>8420</v>
      </c>
      <c r="P289" s="73">
        <f t="shared" ref="P289" si="286">P286+P287-P288</f>
        <v>4210</v>
      </c>
      <c r="Q289" s="73">
        <f t="shared" ref="Q289" si="287">Q286+Q287-Q288</f>
        <v>0</v>
      </c>
      <c r="R289" s="73">
        <f t="shared" ref="R289" si="288">R286+R287-R288</f>
        <v>0</v>
      </c>
      <c r="S289" s="73">
        <f t="shared" ref="S289" si="289">S286+S287-S288</f>
        <v>0</v>
      </c>
      <c r="T289" s="73">
        <f t="shared" ref="T289" si="290">T286+T287-T288</f>
        <v>0</v>
      </c>
    </row>
    <row r="290" spans="4:20" ht="15" outlineLevel="2" thickTop="1" x14ac:dyDescent="0.2">
      <c r="E290" s="8"/>
      <c r="G290" s="79" t="str">
        <v>Inflow Period</v>
      </c>
      <c r="H290" s="80"/>
      <c r="I290" s="83">
        <f>VLOOKUP(I286,D_Table,MATCH($G290,D_Headings,0),0)</f>
        <v>0</v>
      </c>
    </row>
    <row r="291" spans="4:20" outlineLevel="2" x14ac:dyDescent="0.2">
      <c r="E291" s="8"/>
      <c r="G291" s="79" t="str">
        <v>Rep. period</v>
      </c>
      <c r="H291" s="80"/>
      <c r="I291" s="83">
        <f>VLOOKUP(I286,D_Table,MATCH($G291,D_Headings,0),0)</f>
        <v>2022</v>
      </c>
      <c r="N291" s="4" t="s">
        <v>353</v>
      </c>
      <c r="P291" s="4" t="b">
        <f t="shared" ref="P291" si="291">P$6=$I290</f>
        <v>0</v>
      </c>
      <c r="Q291" s="4" t="b">
        <f t="shared" ref="Q291" si="292">Q$6=$I290</f>
        <v>0</v>
      </c>
      <c r="R291" s="4" t="b">
        <f t="shared" ref="R291" si="293">R$6=$I290</f>
        <v>0</v>
      </c>
      <c r="S291" s="4" t="b">
        <f t="shared" ref="S291" si="294">S$6=$I290</f>
        <v>0</v>
      </c>
      <c r="T291" s="4" t="b">
        <f t="shared" ref="T291" si="295">T$6=$I290</f>
        <v>0</v>
      </c>
    </row>
    <row r="292" spans="4:20" outlineLevel="2" x14ac:dyDescent="0.2">
      <c r="E292" s="8"/>
      <c r="G292" s="79" t="str">
        <v>Rate factor</v>
      </c>
      <c r="H292" s="80"/>
      <c r="I292" s="81" t="str">
        <f>VLOOKUP(I286,D_Table,MATCH($G292,D_Headings,0),0)</f>
        <v>LIBOR</v>
      </c>
      <c r="N292" s="4" t="s">
        <v>352</v>
      </c>
      <c r="P292" s="4" t="b">
        <f t="shared" ref="P292" si="296">AND($I290&lt;P$6,$I291&gt;=P$6)</f>
        <v>1</v>
      </c>
      <c r="Q292" s="4" t="b">
        <f t="shared" ref="Q292" si="297">AND($I290&lt;Q$6,$I291&gt;=Q$6)</f>
        <v>1</v>
      </c>
      <c r="R292" s="4" t="b">
        <f t="shared" ref="R292" si="298">AND($I290&lt;R$6,$I291&gt;=R$6)</f>
        <v>0</v>
      </c>
      <c r="S292" s="4" t="b">
        <f t="shared" ref="S292" si="299">AND($I290&lt;S$6,$I291&gt;=S$6)</f>
        <v>0</v>
      </c>
      <c r="T292" s="4" t="b">
        <f t="shared" ref="T292" si="300">AND($I290&lt;T$6,$I291&gt;=T$6)</f>
        <v>0</v>
      </c>
    </row>
    <row r="293" spans="4:20" outlineLevel="2" x14ac:dyDescent="0.2">
      <c r="E293" s="8"/>
      <c r="G293" s="84" t="str">
        <v>Amount</v>
      </c>
      <c r="H293" s="85"/>
      <c r="I293" s="86">
        <f>VLOOKUP(I286,D_Table,MATCH($G293,D_Headings,0),0)</f>
        <v>8420</v>
      </c>
      <c r="N293" s="4" t="s">
        <v>351</v>
      </c>
      <c r="P293" s="41" t="str">
        <f t="shared" ref="P293" si="301">$I292</f>
        <v>LIBOR</v>
      </c>
      <c r="Q293" s="41" t="str">
        <f t="shared" ref="Q293" si="302">$I292</f>
        <v>LIBOR</v>
      </c>
      <c r="R293" s="41" t="str">
        <f t="shared" ref="R293" si="303">$I292</f>
        <v>LIBOR</v>
      </c>
      <c r="S293" s="41" t="str">
        <f t="shared" ref="S293" si="304">$I292</f>
        <v>LIBOR</v>
      </c>
      <c r="T293" s="41" t="str">
        <f t="shared" ref="T293" si="305">$I292</f>
        <v>LIBOR</v>
      </c>
    </row>
    <row r="294" spans="4:20" outlineLevel="2" x14ac:dyDescent="0.2">
      <c r="E294" s="8"/>
      <c r="N294" s="4" t="s">
        <v>85</v>
      </c>
      <c r="P294" s="4">
        <f t="shared" ref="P294:T294" si="306">IF($I290&gt;0,$I291-$I290,$I291-$O$6)</f>
        <v>2</v>
      </c>
      <c r="Q294" s="4">
        <f t="shared" si="306"/>
        <v>2</v>
      </c>
      <c r="R294" s="4">
        <f t="shared" si="306"/>
        <v>2</v>
      </c>
      <c r="S294" s="4">
        <f t="shared" si="306"/>
        <v>2</v>
      </c>
      <c r="T294" s="4">
        <f t="shared" si="306"/>
        <v>2</v>
      </c>
    </row>
    <row r="295" spans="4:20" outlineLevel="2" x14ac:dyDescent="0.2">
      <c r="E295" s="8"/>
    </row>
    <row r="296" spans="4:20" outlineLevel="2" x14ac:dyDescent="0.2">
      <c r="E296" s="8"/>
      <c r="N296" s="4" t="str">
        <f t="shared" ref="N296" si="307">P293</f>
        <v>LIBOR</v>
      </c>
      <c r="P296" s="75" cm="1">
        <f t="array" ref="P296">INDEX(P$170:P$171,MATCH(P293,$D$170:$D$171,0),0)</f>
        <v>2.3599999999999999E-2</v>
      </c>
      <c r="Q296" s="75" cm="1">
        <f t="array" ref="Q296">INDEX(Q$170:Q$171,MATCH(Q293,$D$170:$D$171,0),0)</f>
        <v>2.3599999999999999E-2</v>
      </c>
      <c r="R296" s="75" cm="1">
        <f t="array" ref="R296">INDEX(R$170:R$171,MATCH(R293,$D$170:$D$171,0),0)</f>
        <v>2.3599999999999999E-2</v>
      </c>
      <c r="S296" s="75" cm="1">
        <f t="array" ref="S296">INDEX(S$170:S$171,MATCH(S293,$D$170:$D$171,0),0)</f>
        <v>2.3599999999999999E-2</v>
      </c>
      <c r="T296" s="75" cm="1">
        <f t="array" ref="T296">INDEX(T$170:T$171,MATCH(T293,$D$170:$D$171,0),0)</f>
        <v>2.3599999999999999E-2</v>
      </c>
    </row>
    <row r="297" spans="4:20" outlineLevel="2" x14ac:dyDescent="0.2">
      <c r="E297" s="8"/>
      <c r="N297" s="4" t="s">
        <v>354</v>
      </c>
      <c r="P297" s="75">
        <f t="shared" ref="P297:T297" si="308">$I289</f>
        <v>5.7599999999999998E-2</v>
      </c>
      <c r="Q297" s="75">
        <f t="shared" si="308"/>
        <v>5.7599999999999998E-2</v>
      </c>
      <c r="R297" s="75">
        <f t="shared" si="308"/>
        <v>5.7599999999999998E-2</v>
      </c>
      <c r="S297" s="75">
        <f t="shared" si="308"/>
        <v>5.7599999999999998E-2</v>
      </c>
      <c r="T297" s="75">
        <f t="shared" si="308"/>
        <v>5.7599999999999998E-2</v>
      </c>
    </row>
    <row r="298" spans="4:20" outlineLevel="2" x14ac:dyDescent="0.2">
      <c r="E298" s="8"/>
      <c r="N298" s="4" t="s">
        <v>355</v>
      </c>
      <c r="P298" s="52">
        <f t="shared" ref="P298" si="309">P296+P297</f>
        <v>8.1199999999999994E-2</v>
      </c>
      <c r="Q298" s="52">
        <f t="shared" ref="Q298" si="310">Q296+Q297</f>
        <v>8.1199999999999994E-2</v>
      </c>
      <c r="R298" s="52">
        <f t="shared" ref="R298" si="311">R296+R297</f>
        <v>8.1199999999999994E-2</v>
      </c>
      <c r="S298" s="52">
        <f t="shared" ref="S298" si="312">S296+S297</f>
        <v>8.1199999999999994E-2</v>
      </c>
      <c r="T298" s="52">
        <f t="shared" ref="T298" si="313">T296+T297</f>
        <v>8.1199999999999994E-2</v>
      </c>
    </row>
    <row r="299" spans="4:20" outlineLevel="2" x14ac:dyDescent="0.2">
      <c r="E299" s="8"/>
    </row>
    <row r="300" spans="4:20" outlineLevel="2" x14ac:dyDescent="0.2">
      <c r="E300" s="8"/>
      <c r="N300" s="4" t="s">
        <v>203</v>
      </c>
      <c r="P300" s="4">
        <f t="shared" ref="P300:T300" si="314">AVERAGE(O289:P289)*P298</f>
        <v>512.77800000000002</v>
      </c>
      <c r="Q300" s="4">
        <f t="shared" si="314"/>
        <v>170.92599999999999</v>
      </c>
      <c r="R300" s="4">
        <f t="shared" si="314"/>
        <v>0</v>
      </c>
      <c r="S300" s="4">
        <f t="shared" si="314"/>
        <v>0</v>
      </c>
      <c r="T300" s="4">
        <f t="shared" si="314"/>
        <v>0</v>
      </c>
    </row>
    <row r="301" spans="4:20" outlineLevel="2" x14ac:dyDescent="0.2">
      <c r="E301" s="8"/>
    </row>
    <row r="302" spans="4:20" ht="15" outlineLevel="2" x14ac:dyDescent="0.25">
      <c r="D302" s="72" t="str">
        <f t="shared" ref="D302" si="315">I304</f>
        <v>AFR/RMB</v>
      </c>
      <c r="E302" s="8"/>
    </row>
    <row r="303" spans="4:20" outlineLevel="2" x14ac:dyDescent="0.2">
      <c r="D303" s="4" t="s">
        <v>305</v>
      </c>
      <c r="E303" s="8" t="str">
        <f t="shared" ref="E303:E306" si="316">Currency</f>
        <v>₦`m</v>
      </c>
      <c r="G303" s="76" t="str">
        <f t="array" ref="G303:G310">TRANSPOSE(D_Headings)</f>
        <v>S/N</v>
      </c>
      <c r="H303" s="77"/>
      <c r="I303" s="78">
        <v>8</v>
      </c>
      <c r="P303" s="4">
        <f t="shared" ref="P303" si="317">O306</f>
        <v>19425</v>
      </c>
      <c r="Q303" s="4">
        <f t="shared" ref="Q303" si="318">P306</f>
        <v>12950</v>
      </c>
      <c r="R303" s="4">
        <f t="shared" ref="R303" si="319">Q306</f>
        <v>6475</v>
      </c>
      <c r="S303" s="4">
        <f t="shared" ref="S303" si="320">R306</f>
        <v>0</v>
      </c>
      <c r="T303" s="4">
        <f t="shared" ref="T303" si="321">S306</f>
        <v>0</v>
      </c>
    </row>
    <row r="304" spans="4:20" outlineLevel="2" x14ac:dyDescent="0.2">
      <c r="D304" s="4" t="s">
        <v>323</v>
      </c>
      <c r="E304" s="8" t="str">
        <f t="shared" si="316"/>
        <v>₦`m</v>
      </c>
      <c r="G304" s="79" t="str">
        <v>Descriptions</v>
      </c>
      <c r="H304" s="80"/>
      <c r="I304" s="81" t="str">
        <f>VLOOKUP(I303,D_Table,MATCH($G304,D_Headings,0),0)</f>
        <v>AFR/RMB</v>
      </c>
      <c r="P304" s="4">
        <f t="shared" ref="P304:T304" si="322">P308*$I310</f>
        <v>0</v>
      </c>
      <c r="Q304" s="4">
        <f t="shared" si="322"/>
        <v>0</v>
      </c>
      <c r="R304" s="4">
        <f t="shared" si="322"/>
        <v>0</v>
      </c>
      <c r="S304" s="4">
        <f t="shared" si="322"/>
        <v>0</v>
      </c>
      <c r="T304" s="4">
        <f t="shared" si="322"/>
        <v>0</v>
      </c>
    </row>
    <row r="305" spans="4:20" outlineLevel="2" x14ac:dyDescent="0.2">
      <c r="D305" s="4" t="s">
        <v>320</v>
      </c>
      <c r="E305" s="8" t="str">
        <f t="shared" si="316"/>
        <v>₦`m</v>
      </c>
      <c r="G305" s="79" t="str">
        <v>Types</v>
      </c>
      <c r="H305" s="80"/>
      <c r="I305" s="81" t="str">
        <f>VLOOKUP(I303,D_Table,MATCH($G305,D_Headings,0),0)</f>
        <v>Floating</v>
      </c>
      <c r="P305" s="4">
        <f t="shared" ref="P305:T305" si="323">($I310/P311)*P309</f>
        <v>6475</v>
      </c>
      <c r="Q305" s="4">
        <f t="shared" si="323"/>
        <v>6475</v>
      </c>
      <c r="R305" s="4">
        <f t="shared" si="323"/>
        <v>6475</v>
      </c>
      <c r="S305" s="4">
        <f t="shared" si="323"/>
        <v>0</v>
      </c>
      <c r="T305" s="4">
        <f t="shared" si="323"/>
        <v>0</v>
      </c>
    </row>
    <row r="306" spans="4:20" ht="15.75" outlineLevel="2" thickBot="1" x14ac:dyDescent="0.3">
      <c r="D306" s="4" t="s">
        <v>316</v>
      </c>
      <c r="E306" s="8" t="str">
        <f t="shared" si="316"/>
        <v>₦`m</v>
      </c>
      <c r="G306" s="79" t="str">
        <v>Rate/Spread</v>
      </c>
      <c r="H306" s="80"/>
      <c r="I306" s="82">
        <f>VLOOKUP(I303,D_Table,MATCH($G306,D_Headings,0),0)</f>
        <v>5.7599999999999998E-2</v>
      </c>
      <c r="O306" s="71">
        <f t="shared" ref="O306" si="324">($I307&lt;=O$6)*$I310</f>
        <v>19425</v>
      </c>
      <c r="P306" s="73">
        <f t="shared" ref="P306" si="325">P303+P304-P305</f>
        <v>12950</v>
      </c>
      <c r="Q306" s="73">
        <f t="shared" ref="Q306" si="326">Q303+Q304-Q305</f>
        <v>6475</v>
      </c>
      <c r="R306" s="73">
        <f t="shared" ref="R306" si="327">R303+R304-R305</f>
        <v>0</v>
      </c>
      <c r="S306" s="73">
        <f t="shared" ref="S306" si="328">S303+S304-S305</f>
        <v>0</v>
      </c>
      <c r="T306" s="73">
        <f t="shared" ref="T306" si="329">T303+T304-T305</f>
        <v>0</v>
      </c>
    </row>
    <row r="307" spans="4:20" ht="15" outlineLevel="2" thickTop="1" x14ac:dyDescent="0.2">
      <c r="E307" s="8"/>
      <c r="G307" s="79" t="str">
        <v>Inflow Period</v>
      </c>
      <c r="H307" s="80"/>
      <c r="I307" s="83">
        <f>VLOOKUP(I303,D_Table,MATCH($G307,D_Headings,0),0)</f>
        <v>0</v>
      </c>
    </row>
    <row r="308" spans="4:20" outlineLevel="2" x14ac:dyDescent="0.2">
      <c r="E308" s="8"/>
      <c r="G308" s="79" t="str">
        <v>Rep. period</v>
      </c>
      <c r="H308" s="80"/>
      <c r="I308" s="83">
        <f>VLOOKUP(I303,D_Table,MATCH($G308,D_Headings,0),0)</f>
        <v>2023</v>
      </c>
      <c r="N308" s="4" t="s">
        <v>353</v>
      </c>
      <c r="P308" s="4" t="b">
        <f t="shared" ref="P308" si="330">P$6=$I307</f>
        <v>0</v>
      </c>
      <c r="Q308" s="4" t="b">
        <f t="shared" ref="Q308" si="331">Q$6=$I307</f>
        <v>0</v>
      </c>
      <c r="R308" s="4" t="b">
        <f t="shared" ref="R308" si="332">R$6=$I307</f>
        <v>0</v>
      </c>
      <c r="S308" s="4" t="b">
        <f t="shared" ref="S308" si="333">S$6=$I307</f>
        <v>0</v>
      </c>
      <c r="T308" s="4" t="b">
        <f t="shared" ref="T308" si="334">T$6=$I307</f>
        <v>0</v>
      </c>
    </row>
    <row r="309" spans="4:20" outlineLevel="2" x14ac:dyDescent="0.2">
      <c r="E309" s="8"/>
      <c r="G309" s="79" t="str">
        <v>Rate factor</v>
      </c>
      <c r="H309" s="80"/>
      <c r="I309" s="81" t="str">
        <f>VLOOKUP(I303,D_Table,MATCH($G309,D_Headings,0),0)</f>
        <v>LIBOR</v>
      </c>
      <c r="N309" s="4" t="s">
        <v>352</v>
      </c>
      <c r="P309" s="4" t="b">
        <f t="shared" ref="P309" si="335">AND($I307&lt;P$6,$I308&gt;=P$6)</f>
        <v>1</v>
      </c>
      <c r="Q309" s="4" t="b">
        <f t="shared" ref="Q309" si="336">AND($I307&lt;Q$6,$I308&gt;=Q$6)</f>
        <v>1</v>
      </c>
      <c r="R309" s="4" t="b">
        <f t="shared" ref="R309" si="337">AND($I307&lt;R$6,$I308&gt;=R$6)</f>
        <v>1</v>
      </c>
      <c r="S309" s="4" t="b">
        <f t="shared" ref="S309" si="338">AND($I307&lt;S$6,$I308&gt;=S$6)</f>
        <v>0</v>
      </c>
      <c r="T309" s="4" t="b">
        <f t="shared" ref="T309" si="339">AND($I307&lt;T$6,$I308&gt;=T$6)</f>
        <v>0</v>
      </c>
    </row>
    <row r="310" spans="4:20" outlineLevel="2" x14ac:dyDescent="0.2">
      <c r="E310" s="8"/>
      <c r="G310" s="84" t="str">
        <v>Amount</v>
      </c>
      <c r="H310" s="85"/>
      <c r="I310" s="86">
        <f>VLOOKUP(I303,D_Table,MATCH($G310,D_Headings,0),0)</f>
        <v>19425</v>
      </c>
      <c r="N310" s="4" t="s">
        <v>351</v>
      </c>
      <c r="P310" s="41" t="str">
        <f t="shared" ref="P310" si="340">$I309</f>
        <v>LIBOR</v>
      </c>
      <c r="Q310" s="41" t="str">
        <f t="shared" ref="Q310" si="341">$I309</f>
        <v>LIBOR</v>
      </c>
      <c r="R310" s="41" t="str">
        <f t="shared" ref="R310" si="342">$I309</f>
        <v>LIBOR</v>
      </c>
      <c r="S310" s="41" t="str">
        <f t="shared" ref="S310" si="343">$I309</f>
        <v>LIBOR</v>
      </c>
      <c r="T310" s="41" t="str">
        <f t="shared" ref="T310" si="344">$I309</f>
        <v>LIBOR</v>
      </c>
    </row>
    <row r="311" spans="4:20" outlineLevel="2" x14ac:dyDescent="0.2">
      <c r="E311" s="8"/>
      <c r="N311" s="4" t="s">
        <v>85</v>
      </c>
      <c r="P311" s="4">
        <f t="shared" ref="P311:T311" si="345">IF($I307&gt;0,$I308-$I307,$I308-$O$6)</f>
        <v>3</v>
      </c>
      <c r="Q311" s="4">
        <f t="shared" si="345"/>
        <v>3</v>
      </c>
      <c r="R311" s="4">
        <f t="shared" si="345"/>
        <v>3</v>
      </c>
      <c r="S311" s="4">
        <f t="shared" si="345"/>
        <v>3</v>
      </c>
      <c r="T311" s="4">
        <f t="shared" si="345"/>
        <v>3</v>
      </c>
    </row>
    <row r="312" spans="4:20" outlineLevel="2" x14ac:dyDescent="0.2">
      <c r="E312" s="8"/>
    </row>
    <row r="313" spans="4:20" outlineLevel="2" x14ac:dyDescent="0.2">
      <c r="E313" s="8"/>
      <c r="N313" s="4" t="str">
        <f t="shared" ref="N313" si="346">P310</f>
        <v>LIBOR</v>
      </c>
      <c r="P313" s="75" cm="1">
        <f t="array" ref="P313">INDEX(P$170:P$171,MATCH(P310,$D$170:$D$171,0),0)</f>
        <v>2.3599999999999999E-2</v>
      </c>
      <c r="Q313" s="75" cm="1">
        <f t="array" ref="Q313">INDEX(Q$170:Q$171,MATCH(Q310,$D$170:$D$171,0),0)</f>
        <v>2.3599999999999999E-2</v>
      </c>
      <c r="R313" s="75" cm="1">
        <f t="array" ref="R313">INDEX(R$170:R$171,MATCH(R310,$D$170:$D$171,0),0)</f>
        <v>2.3599999999999999E-2</v>
      </c>
      <c r="S313" s="75" cm="1">
        <f t="array" ref="S313">INDEX(S$170:S$171,MATCH(S310,$D$170:$D$171,0),0)</f>
        <v>2.3599999999999999E-2</v>
      </c>
      <c r="T313" s="75" cm="1">
        <f t="array" ref="T313">INDEX(T$170:T$171,MATCH(T310,$D$170:$D$171,0),0)</f>
        <v>2.3599999999999999E-2</v>
      </c>
    </row>
    <row r="314" spans="4:20" outlineLevel="2" x14ac:dyDescent="0.2">
      <c r="E314" s="8"/>
      <c r="N314" s="4" t="s">
        <v>354</v>
      </c>
      <c r="P314" s="75">
        <f t="shared" ref="P314:T314" si="347">$I306</f>
        <v>5.7599999999999998E-2</v>
      </c>
      <c r="Q314" s="75">
        <f t="shared" si="347"/>
        <v>5.7599999999999998E-2</v>
      </c>
      <c r="R314" s="75">
        <f t="shared" si="347"/>
        <v>5.7599999999999998E-2</v>
      </c>
      <c r="S314" s="75">
        <f t="shared" si="347"/>
        <v>5.7599999999999998E-2</v>
      </c>
      <c r="T314" s="75">
        <f t="shared" si="347"/>
        <v>5.7599999999999998E-2</v>
      </c>
    </row>
    <row r="315" spans="4:20" outlineLevel="2" x14ac:dyDescent="0.2">
      <c r="E315" s="8"/>
      <c r="N315" s="4" t="s">
        <v>355</v>
      </c>
      <c r="P315" s="52">
        <f t="shared" ref="P315" si="348">P313+P314</f>
        <v>8.1199999999999994E-2</v>
      </c>
      <c r="Q315" s="52">
        <f t="shared" ref="Q315" si="349">Q313+Q314</f>
        <v>8.1199999999999994E-2</v>
      </c>
      <c r="R315" s="52">
        <f t="shared" ref="R315" si="350">R313+R314</f>
        <v>8.1199999999999994E-2</v>
      </c>
      <c r="S315" s="52">
        <f t="shared" ref="S315" si="351">S313+S314</f>
        <v>8.1199999999999994E-2</v>
      </c>
      <c r="T315" s="52">
        <f t="shared" ref="T315" si="352">T313+T314</f>
        <v>8.1199999999999994E-2</v>
      </c>
    </row>
    <row r="316" spans="4:20" outlineLevel="2" x14ac:dyDescent="0.2">
      <c r="E316" s="8"/>
    </row>
    <row r="317" spans="4:20" outlineLevel="2" x14ac:dyDescent="0.2">
      <c r="E317" s="8"/>
      <c r="N317" s="4" t="s">
        <v>203</v>
      </c>
      <c r="P317" s="4">
        <f t="shared" ref="P317:T317" si="353">AVERAGE(O306:P306)*P315</f>
        <v>1314.425</v>
      </c>
      <c r="Q317" s="4">
        <f t="shared" si="353"/>
        <v>788.65499999999997</v>
      </c>
      <c r="R317" s="4">
        <f t="shared" si="353"/>
        <v>262.88499999999999</v>
      </c>
      <c r="S317" s="4">
        <f t="shared" si="353"/>
        <v>0</v>
      </c>
      <c r="T317" s="4">
        <f t="shared" si="353"/>
        <v>0</v>
      </c>
    </row>
    <row r="318" spans="4:20" outlineLevel="2" x14ac:dyDescent="0.2">
      <c r="E318" s="8"/>
    </row>
    <row r="319" spans="4:20" ht="15" outlineLevel="2" x14ac:dyDescent="0.25">
      <c r="D319" s="72" t="str">
        <f t="shared" ref="D319" si="354">I321</f>
        <v>New debt 1</v>
      </c>
      <c r="E319" s="8"/>
    </row>
    <row r="320" spans="4:20" outlineLevel="2" x14ac:dyDescent="0.2">
      <c r="D320" s="4" t="s">
        <v>305</v>
      </c>
      <c r="E320" s="8" t="str">
        <f t="shared" ref="E320:E340" si="355">Currency</f>
        <v>₦`m</v>
      </c>
      <c r="G320" s="76" t="str">
        <f t="array" ref="G320:G327">TRANSPOSE(D_Headings)</f>
        <v>S/N</v>
      </c>
      <c r="H320" s="77"/>
      <c r="I320" s="78">
        <v>9</v>
      </c>
      <c r="P320" s="4">
        <f t="shared" ref="P320" si="356">O323</f>
        <v>0</v>
      </c>
      <c r="Q320" s="4">
        <f t="shared" ref="Q320" si="357">P323</f>
        <v>97519</v>
      </c>
      <c r="R320" s="4">
        <f t="shared" ref="R320" si="358">Q323</f>
        <v>48759.5</v>
      </c>
      <c r="S320" s="4">
        <f t="shared" ref="S320" si="359">R323</f>
        <v>0</v>
      </c>
      <c r="T320" s="4">
        <f t="shared" ref="T320" si="360">S323</f>
        <v>0</v>
      </c>
    </row>
    <row r="321" spans="4:20" outlineLevel="2" x14ac:dyDescent="0.2">
      <c r="D321" s="4" t="s">
        <v>323</v>
      </c>
      <c r="E321" s="8" t="str">
        <f t="shared" si="355"/>
        <v>₦`m</v>
      </c>
      <c r="G321" s="79" t="str">
        <v>Descriptions</v>
      </c>
      <c r="H321" s="80"/>
      <c r="I321" s="81" t="str">
        <f>VLOOKUP(I320,D_Table,MATCH($G321,D_Headings,0),0)</f>
        <v>New debt 1</v>
      </c>
      <c r="P321" s="4">
        <f t="shared" ref="P321:T321" si="361">P325*$I327</f>
        <v>97519</v>
      </c>
      <c r="Q321" s="4">
        <f t="shared" si="361"/>
        <v>0</v>
      </c>
      <c r="R321" s="4">
        <f t="shared" si="361"/>
        <v>0</v>
      </c>
      <c r="S321" s="4">
        <f t="shared" si="361"/>
        <v>0</v>
      </c>
      <c r="T321" s="4">
        <f t="shared" si="361"/>
        <v>0</v>
      </c>
    </row>
    <row r="322" spans="4:20" outlineLevel="2" x14ac:dyDescent="0.2">
      <c r="D322" s="4" t="s">
        <v>320</v>
      </c>
      <c r="E322" s="8" t="str">
        <f t="shared" si="355"/>
        <v>₦`m</v>
      </c>
      <c r="G322" s="79" t="str">
        <v>Types</v>
      </c>
      <c r="H322" s="80"/>
      <c r="I322" s="81" t="str">
        <f>VLOOKUP(I320,D_Table,MATCH($G322,D_Headings,0),0)</f>
        <v>Floating</v>
      </c>
      <c r="P322" s="4">
        <f t="shared" ref="P322:T322" si="362">($I327/P328)*P326</f>
        <v>0</v>
      </c>
      <c r="Q322" s="4">
        <f t="shared" si="362"/>
        <v>48759.5</v>
      </c>
      <c r="R322" s="4">
        <f t="shared" si="362"/>
        <v>48759.5</v>
      </c>
      <c r="S322" s="4">
        <f t="shared" si="362"/>
        <v>0</v>
      </c>
      <c r="T322" s="4">
        <f t="shared" si="362"/>
        <v>0</v>
      </c>
    </row>
    <row r="323" spans="4:20" ht="15.75" outlineLevel="2" thickBot="1" x14ac:dyDescent="0.3">
      <c r="D323" s="4" t="s">
        <v>316</v>
      </c>
      <c r="E323" s="8" t="str">
        <f t="shared" si="355"/>
        <v>₦`m</v>
      </c>
      <c r="G323" s="79" t="str">
        <v>Rate/Spread</v>
      </c>
      <c r="H323" s="80"/>
      <c r="I323" s="82">
        <f>VLOOKUP(I320,D_Table,MATCH($G323,D_Headings,0),0)</f>
        <v>3.5099999999999999E-2</v>
      </c>
      <c r="O323" s="71">
        <f t="shared" ref="O323" si="363">($I324&lt;=O$6)*$I327</f>
        <v>0</v>
      </c>
      <c r="P323" s="73">
        <f t="shared" ref="P323" si="364">P320+P321-P322</f>
        <v>97519</v>
      </c>
      <c r="Q323" s="73">
        <f t="shared" ref="Q323" si="365">Q320+Q321-Q322</f>
        <v>48759.5</v>
      </c>
      <c r="R323" s="73">
        <f t="shared" ref="R323" si="366">R320+R321-R322</f>
        <v>0</v>
      </c>
      <c r="S323" s="73">
        <f t="shared" ref="S323" si="367">S320+S321-S322</f>
        <v>0</v>
      </c>
      <c r="T323" s="73">
        <f t="shared" ref="T323" si="368">T320+T321-T322</f>
        <v>0</v>
      </c>
    </row>
    <row r="324" spans="4:20" ht="15" outlineLevel="2" thickTop="1" x14ac:dyDescent="0.2">
      <c r="E324" s="8"/>
      <c r="G324" s="79" t="str">
        <v>Inflow Period</v>
      </c>
      <c r="H324" s="80"/>
      <c r="I324" s="83">
        <f>VLOOKUP(I320,D_Table,MATCH($G324,D_Headings,0),0)</f>
        <v>2021</v>
      </c>
    </row>
    <row r="325" spans="4:20" outlineLevel="2" x14ac:dyDescent="0.2">
      <c r="E325" s="8"/>
      <c r="G325" s="79" t="str">
        <v>Rep. period</v>
      </c>
      <c r="H325" s="80"/>
      <c r="I325" s="83">
        <f>VLOOKUP(I320,D_Table,MATCH($G325,D_Headings,0),0)</f>
        <v>2023</v>
      </c>
      <c r="N325" s="4" t="s">
        <v>353</v>
      </c>
      <c r="P325" s="4" t="b">
        <f t="shared" ref="P325" si="369">P$6=$I324</f>
        <v>1</v>
      </c>
      <c r="Q325" s="4" t="b">
        <f t="shared" ref="Q325" si="370">Q$6=$I324</f>
        <v>0</v>
      </c>
      <c r="R325" s="4" t="b">
        <f t="shared" ref="R325" si="371">R$6=$I324</f>
        <v>0</v>
      </c>
      <c r="S325" s="4" t="b">
        <f t="shared" ref="S325" si="372">S$6=$I324</f>
        <v>0</v>
      </c>
      <c r="T325" s="4" t="b">
        <f t="shared" ref="T325" si="373">T$6=$I324</f>
        <v>0</v>
      </c>
    </row>
    <row r="326" spans="4:20" outlineLevel="2" x14ac:dyDescent="0.2">
      <c r="E326" s="8"/>
      <c r="G326" s="79" t="str">
        <v>Rate factor</v>
      </c>
      <c r="H326" s="80"/>
      <c r="I326" s="81" t="str">
        <f>VLOOKUP(I320,D_Table,MATCH($G326,D_Headings,0),0)</f>
        <v>NIBOR</v>
      </c>
      <c r="N326" s="4" t="s">
        <v>352</v>
      </c>
      <c r="P326" s="4" t="b">
        <f t="shared" ref="P326" si="374">AND($I324&lt;P$6,$I325&gt;=P$6)</f>
        <v>0</v>
      </c>
      <c r="Q326" s="4" t="b">
        <f t="shared" ref="Q326" si="375">AND($I324&lt;Q$6,$I325&gt;=Q$6)</f>
        <v>1</v>
      </c>
      <c r="R326" s="4" t="b">
        <f t="shared" ref="R326" si="376">AND($I324&lt;R$6,$I325&gt;=R$6)</f>
        <v>1</v>
      </c>
      <c r="S326" s="4" t="b">
        <f t="shared" ref="S326" si="377">AND($I324&lt;S$6,$I325&gt;=S$6)</f>
        <v>0</v>
      </c>
      <c r="T326" s="4" t="b">
        <f t="shared" ref="T326" si="378">AND($I324&lt;T$6,$I325&gt;=T$6)</f>
        <v>0</v>
      </c>
    </row>
    <row r="327" spans="4:20" outlineLevel="2" x14ac:dyDescent="0.2">
      <c r="E327" s="8"/>
      <c r="G327" s="84" t="str">
        <v>Amount</v>
      </c>
      <c r="H327" s="85"/>
      <c r="I327" s="86">
        <f>VLOOKUP(I320,D_Table,MATCH($G327,D_Headings,0),0)</f>
        <v>97519</v>
      </c>
      <c r="N327" s="4" t="s">
        <v>351</v>
      </c>
      <c r="P327" s="41" t="str">
        <f t="shared" ref="P327" si="379">$I326</f>
        <v>NIBOR</v>
      </c>
      <c r="Q327" s="41" t="str">
        <f t="shared" ref="Q327" si="380">$I326</f>
        <v>NIBOR</v>
      </c>
      <c r="R327" s="41" t="str">
        <f t="shared" ref="R327" si="381">$I326</f>
        <v>NIBOR</v>
      </c>
      <c r="S327" s="41" t="str">
        <f t="shared" ref="S327" si="382">$I326</f>
        <v>NIBOR</v>
      </c>
      <c r="T327" s="41" t="str">
        <f t="shared" ref="T327" si="383">$I326</f>
        <v>NIBOR</v>
      </c>
    </row>
    <row r="328" spans="4:20" outlineLevel="2" x14ac:dyDescent="0.2">
      <c r="E328" s="8"/>
      <c r="N328" s="4" t="s">
        <v>85</v>
      </c>
      <c r="P328" s="4">
        <f t="shared" ref="P328:T328" si="384">IF($I324&gt;0,$I325-$I324,$I325-$O$6)</f>
        <v>2</v>
      </c>
      <c r="Q328" s="4">
        <f t="shared" si="384"/>
        <v>2</v>
      </c>
      <c r="R328" s="4">
        <f t="shared" si="384"/>
        <v>2</v>
      </c>
      <c r="S328" s="4">
        <f t="shared" si="384"/>
        <v>2</v>
      </c>
      <c r="T328" s="4">
        <f t="shared" si="384"/>
        <v>2</v>
      </c>
    </row>
    <row r="329" spans="4:20" outlineLevel="2" x14ac:dyDescent="0.2">
      <c r="E329" s="8"/>
    </row>
    <row r="330" spans="4:20" outlineLevel="2" x14ac:dyDescent="0.2">
      <c r="E330" s="8"/>
      <c r="N330" s="4" t="str">
        <f t="shared" ref="N330" si="385">P327</f>
        <v>NIBOR</v>
      </c>
      <c r="P330" s="75" cm="1">
        <f t="array" ref="P330">INDEX(P$170:P$171,MATCH(P327,$D$170:$D$171,0),0)</f>
        <v>8.5000000000000006E-2</v>
      </c>
      <c r="Q330" s="75" cm="1">
        <f t="array" ref="Q330">INDEX(Q$170:Q$171,MATCH(Q327,$D$170:$D$171,0),0)</f>
        <v>8.5000000000000006E-2</v>
      </c>
      <c r="R330" s="75" cm="1">
        <f t="array" ref="R330">INDEX(R$170:R$171,MATCH(R327,$D$170:$D$171,0),0)</f>
        <v>8.5000000000000006E-2</v>
      </c>
      <c r="S330" s="75" cm="1">
        <f t="array" ref="S330">INDEX(S$170:S$171,MATCH(S327,$D$170:$D$171,0),0)</f>
        <v>8.5000000000000006E-2</v>
      </c>
      <c r="T330" s="75" cm="1">
        <f t="array" ref="T330">INDEX(T$170:T$171,MATCH(T327,$D$170:$D$171,0),0)</f>
        <v>8.5000000000000006E-2</v>
      </c>
    </row>
    <row r="331" spans="4:20" outlineLevel="2" x14ac:dyDescent="0.2">
      <c r="E331" s="8"/>
      <c r="N331" s="4" t="s">
        <v>354</v>
      </c>
      <c r="P331" s="75">
        <f t="shared" ref="P331:T331" si="386">$I323</f>
        <v>3.5099999999999999E-2</v>
      </c>
      <c r="Q331" s="75">
        <f t="shared" si="386"/>
        <v>3.5099999999999999E-2</v>
      </c>
      <c r="R331" s="75">
        <f t="shared" si="386"/>
        <v>3.5099999999999999E-2</v>
      </c>
      <c r="S331" s="75">
        <f t="shared" si="386"/>
        <v>3.5099999999999999E-2</v>
      </c>
      <c r="T331" s="75">
        <f t="shared" si="386"/>
        <v>3.5099999999999999E-2</v>
      </c>
    </row>
    <row r="332" spans="4:20" outlineLevel="2" x14ac:dyDescent="0.2">
      <c r="E332" s="8"/>
      <c r="N332" s="4" t="s">
        <v>355</v>
      </c>
      <c r="P332" s="52">
        <f t="shared" ref="P332" si="387">P330+P331</f>
        <v>0.12010000000000001</v>
      </c>
      <c r="Q332" s="52">
        <f t="shared" ref="Q332" si="388">Q330+Q331</f>
        <v>0.12010000000000001</v>
      </c>
      <c r="R332" s="52">
        <f t="shared" ref="R332" si="389">R330+R331</f>
        <v>0.12010000000000001</v>
      </c>
      <c r="S332" s="52">
        <f t="shared" ref="S332" si="390">S330+S331</f>
        <v>0.12010000000000001</v>
      </c>
      <c r="T332" s="52">
        <f t="shared" ref="T332" si="391">T330+T331</f>
        <v>0.12010000000000001</v>
      </c>
    </row>
    <row r="333" spans="4:20" outlineLevel="2" x14ac:dyDescent="0.2">
      <c r="E333" s="8"/>
    </row>
    <row r="334" spans="4:20" outlineLevel="2" x14ac:dyDescent="0.2">
      <c r="E334" s="8"/>
      <c r="N334" s="4" t="s">
        <v>203</v>
      </c>
      <c r="P334" s="4">
        <f t="shared" ref="P334:T334" si="392">AVERAGE(O323:P323)*P332</f>
        <v>5856.0159500000009</v>
      </c>
      <c r="Q334" s="4">
        <f t="shared" si="392"/>
        <v>8784.0239250000013</v>
      </c>
      <c r="R334" s="4">
        <f t="shared" si="392"/>
        <v>2928.0079750000004</v>
      </c>
      <c r="S334" s="4">
        <f t="shared" si="392"/>
        <v>0</v>
      </c>
      <c r="T334" s="4">
        <f t="shared" si="392"/>
        <v>0</v>
      </c>
    </row>
    <row r="335" spans="4:20" outlineLevel="2" x14ac:dyDescent="0.2">
      <c r="E335" s="8"/>
    </row>
    <row r="336" spans="4:20" ht="15" outlineLevel="2" x14ac:dyDescent="0.25">
      <c r="D336" s="72" t="str">
        <f t="shared" ref="D336" si="393">I338</f>
        <v>New debt 2</v>
      </c>
      <c r="E336" s="8"/>
    </row>
    <row r="337" spans="4:20" outlineLevel="2" x14ac:dyDescent="0.2">
      <c r="D337" s="4" t="s">
        <v>305</v>
      </c>
      <c r="E337" s="8" t="str">
        <f t="shared" si="355"/>
        <v>₦`m</v>
      </c>
      <c r="G337" s="76" t="str">
        <f t="array" ref="G337:G344">TRANSPOSE(D_Headings)</f>
        <v>S/N</v>
      </c>
      <c r="H337" s="77"/>
      <c r="I337" s="78">
        <v>10</v>
      </c>
      <c r="P337" s="4">
        <f t="shared" ref="P337" si="394">O340</f>
        <v>0</v>
      </c>
      <c r="Q337" s="4">
        <f t="shared" ref="Q337" si="395">P340</f>
        <v>0</v>
      </c>
      <c r="R337" s="4">
        <f t="shared" ref="R337" si="396">Q340</f>
        <v>161597.02496126731</v>
      </c>
      <c r="S337" s="4">
        <f t="shared" ref="S337" si="397">R340</f>
        <v>80798.512480633653</v>
      </c>
      <c r="T337" s="4">
        <f t="shared" ref="T337" si="398">S340</f>
        <v>0</v>
      </c>
    </row>
    <row r="338" spans="4:20" outlineLevel="2" x14ac:dyDescent="0.2">
      <c r="D338" s="4" t="s">
        <v>323</v>
      </c>
      <c r="E338" s="8" t="str">
        <f t="shared" si="355"/>
        <v>₦`m</v>
      </c>
      <c r="G338" s="79" t="str">
        <v>Descriptions</v>
      </c>
      <c r="H338" s="80"/>
      <c r="I338" s="81" t="str">
        <f>VLOOKUP(I337,D_Table,MATCH($G338,D_Headings,0),0)</f>
        <v>New debt 2</v>
      </c>
      <c r="P338" s="4">
        <f t="shared" ref="P338:T338" si="399">P342*$I344</f>
        <v>0</v>
      </c>
      <c r="Q338" s="4">
        <f t="shared" si="399"/>
        <v>161597.02496126731</v>
      </c>
      <c r="R338" s="4">
        <f t="shared" si="399"/>
        <v>0</v>
      </c>
      <c r="S338" s="4">
        <f t="shared" si="399"/>
        <v>0</v>
      </c>
      <c r="T338" s="4">
        <f t="shared" si="399"/>
        <v>0</v>
      </c>
    </row>
    <row r="339" spans="4:20" outlineLevel="2" x14ac:dyDescent="0.2">
      <c r="D339" s="4" t="s">
        <v>320</v>
      </c>
      <c r="E339" s="8" t="str">
        <f t="shared" si="355"/>
        <v>₦`m</v>
      </c>
      <c r="G339" s="79" t="str">
        <v>Types</v>
      </c>
      <c r="H339" s="80"/>
      <c r="I339" s="81" t="str">
        <f>VLOOKUP(I337,D_Table,MATCH($G339,D_Headings,0),0)</f>
        <v>Fixed</v>
      </c>
      <c r="P339" s="4">
        <f t="shared" ref="P339:T339" si="400">($I344/P345)*P343</f>
        <v>0</v>
      </c>
      <c r="Q339" s="4">
        <f t="shared" si="400"/>
        <v>0</v>
      </c>
      <c r="R339" s="4">
        <f t="shared" si="400"/>
        <v>80798.512480633653</v>
      </c>
      <c r="S339" s="4">
        <f t="shared" si="400"/>
        <v>80798.512480633653</v>
      </c>
      <c r="T339" s="4">
        <f t="shared" si="400"/>
        <v>0</v>
      </c>
    </row>
    <row r="340" spans="4:20" ht="15.75" outlineLevel="2" thickBot="1" x14ac:dyDescent="0.3">
      <c r="D340" s="4" t="s">
        <v>316</v>
      </c>
      <c r="E340" s="8" t="str">
        <f t="shared" si="355"/>
        <v>₦`m</v>
      </c>
      <c r="G340" s="79" t="str">
        <v>Rate/Spread</v>
      </c>
      <c r="H340" s="80"/>
      <c r="I340" s="82">
        <f>VLOOKUP(I337,D_Table,MATCH($G340,D_Headings,0),0)</f>
        <v>5.7000000000000002E-2</v>
      </c>
      <c r="O340" s="71">
        <f t="shared" ref="O340" si="401">($I341&lt;=O$6)*$I344</f>
        <v>0</v>
      </c>
      <c r="P340" s="73">
        <f t="shared" ref="P340" si="402">P337+P338-P339</f>
        <v>0</v>
      </c>
      <c r="Q340" s="73">
        <f t="shared" ref="Q340" si="403">Q337+Q338-Q339</f>
        <v>161597.02496126731</v>
      </c>
      <c r="R340" s="73">
        <f t="shared" ref="R340" si="404">R337+R338-R339</f>
        <v>80798.512480633653</v>
      </c>
      <c r="S340" s="73">
        <f t="shared" ref="S340" si="405">S337+S338-S339</f>
        <v>0</v>
      </c>
      <c r="T340" s="73">
        <f t="shared" ref="T340" si="406">T337+T338-T339</f>
        <v>0</v>
      </c>
    </row>
    <row r="341" spans="4:20" ht="15" outlineLevel="2" thickTop="1" x14ac:dyDescent="0.2">
      <c r="E341" s="8"/>
      <c r="G341" s="79" t="str">
        <v>Inflow Period</v>
      </c>
      <c r="H341" s="80"/>
      <c r="I341" s="83">
        <f>VLOOKUP(I337,D_Table,MATCH($G341,D_Headings,0),0)</f>
        <v>2022</v>
      </c>
    </row>
    <row r="342" spans="4:20" outlineLevel="2" x14ac:dyDescent="0.2">
      <c r="E342" s="8"/>
      <c r="G342" s="79" t="str">
        <v>Rep. period</v>
      </c>
      <c r="H342" s="80"/>
      <c r="I342" s="83">
        <f>VLOOKUP(I337,D_Table,MATCH($G342,D_Headings,0),0)</f>
        <v>2024</v>
      </c>
      <c r="N342" s="4" t="s">
        <v>353</v>
      </c>
      <c r="P342" s="4" t="b">
        <f t="shared" ref="P342" si="407">P$6=$I341</f>
        <v>0</v>
      </c>
      <c r="Q342" s="4" t="b">
        <f t="shared" ref="Q342" si="408">Q$6=$I341</f>
        <v>1</v>
      </c>
      <c r="R342" s="4" t="b">
        <f t="shared" ref="R342" si="409">R$6=$I341</f>
        <v>0</v>
      </c>
      <c r="S342" s="4" t="b">
        <f t="shared" ref="S342" si="410">S$6=$I341</f>
        <v>0</v>
      </c>
      <c r="T342" s="4" t="b">
        <f t="shared" ref="T342" si="411">T$6=$I341</f>
        <v>0</v>
      </c>
    </row>
    <row r="343" spans="4:20" outlineLevel="2" x14ac:dyDescent="0.2">
      <c r="E343" s="8"/>
      <c r="G343" s="79" t="str">
        <v>Rate factor</v>
      </c>
      <c r="H343" s="80"/>
      <c r="I343" s="81" t="str">
        <f>VLOOKUP(I337,D_Table,MATCH($G343,D_Headings,0),0)</f>
        <v>LIBOR</v>
      </c>
      <c r="N343" s="4" t="s">
        <v>352</v>
      </c>
      <c r="P343" s="4" t="b">
        <f t="shared" ref="P343" si="412">AND($I341&lt;P$6,$I342&gt;=P$6)</f>
        <v>0</v>
      </c>
      <c r="Q343" s="4" t="b">
        <f t="shared" ref="Q343" si="413">AND($I341&lt;Q$6,$I342&gt;=Q$6)</f>
        <v>0</v>
      </c>
      <c r="R343" s="4" t="b">
        <f t="shared" ref="R343" si="414">AND($I341&lt;R$6,$I342&gt;=R$6)</f>
        <v>1</v>
      </c>
      <c r="S343" s="4" t="b">
        <f t="shared" ref="S343" si="415">AND($I341&lt;S$6,$I342&gt;=S$6)</f>
        <v>1</v>
      </c>
      <c r="T343" s="4" t="b">
        <f t="shared" ref="T343" si="416">AND($I341&lt;T$6,$I342&gt;=T$6)</f>
        <v>0</v>
      </c>
    </row>
    <row r="344" spans="4:20" outlineLevel="2" x14ac:dyDescent="0.2">
      <c r="E344" s="8"/>
      <c r="G344" s="84" t="str">
        <v>Amount</v>
      </c>
      <c r="H344" s="85"/>
      <c r="I344" s="86">
        <f>VLOOKUP(I337,D_Table,MATCH($G344,D_Headings,0),0)</f>
        <v>161597.02496126731</v>
      </c>
      <c r="N344" s="4" t="s">
        <v>351</v>
      </c>
      <c r="P344" s="41" t="str">
        <f t="shared" ref="P344" si="417">$I343</f>
        <v>LIBOR</v>
      </c>
      <c r="Q344" s="41" t="str">
        <f t="shared" ref="Q344" si="418">$I343</f>
        <v>LIBOR</v>
      </c>
      <c r="R344" s="41" t="str">
        <f t="shared" ref="R344" si="419">$I343</f>
        <v>LIBOR</v>
      </c>
      <c r="S344" s="41" t="str">
        <f t="shared" ref="S344" si="420">$I343</f>
        <v>LIBOR</v>
      </c>
      <c r="T344" s="41" t="str">
        <f t="shared" ref="T344" si="421">$I343</f>
        <v>LIBOR</v>
      </c>
    </row>
    <row r="345" spans="4:20" outlineLevel="2" x14ac:dyDescent="0.2">
      <c r="E345" s="8"/>
      <c r="N345" s="4" t="s">
        <v>85</v>
      </c>
      <c r="P345" s="4">
        <f t="shared" ref="P345:T345" si="422">IF($I341&gt;0,$I342-$I341,$I342-$O$6)</f>
        <v>2</v>
      </c>
      <c r="Q345" s="4">
        <f t="shared" si="422"/>
        <v>2</v>
      </c>
      <c r="R345" s="4">
        <f t="shared" si="422"/>
        <v>2</v>
      </c>
      <c r="S345" s="4">
        <f t="shared" si="422"/>
        <v>2</v>
      </c>
      <c r="T345" s="4">
        <f t="shared" si="422"/>
        <v>2</v>
      </c>
    </row>
    <row r="346" spans="4:20" outlineLevel="2" x14ac:dyDescent="0.2">
      <c r="E346" s="8"/>
    </row>
    <row r="347" spans="4:20" outlineLevel="2" x14ac:dyDescent="0.2">
      <c r="E347" s="8"/>
      <c r="N347" s="4" t="str">
        <f t="shared" ref="N347" si="423">P344</f>
        <v>LIBOR</v>
      </c>
      <c r="P347" s="75" cm="1">
        <f t="array" ref="P347">INDEX(P$170:P$171,MATCH(P344,$D$170:$D$171,0),0)</f>
        <v>2.3599999999999999E-2</v>
      </c>
      <c r="Q347" s="75" cm="1">
        <f t="array" ref="Q347">INDEX(Q$170:Q$171,MATCH(Q344,$D$170:$D$171,0),0)</f>
        <v>2.3599999999999999E-2</v>
      </c>
      <c r="R347" s="75" cm="1">
        <f t="array" ref="R347">INDEX(R$170:R$171,MATCH(R344,$D$170:$D$171,0),0)</f>
        <v>2.3599999999999999E-2</v>
      </c>
      <c r="S347" s="75" cm="1">
        <f t="array" ref="S347">INDEX(S$170:S$171,MATCH(S344,$D$170:$D$171,0),0)</f>
        <v>2.3599999999999999E-2</v>
      </c>
      <c r="T347" s="75" cm="1">
        <f t="array" ref="T347">INDEX(T$170:T$171,MATCH(T344,$D$170:$D$171,0),0)</f>
        <v>2.3599999999999999E-2</v>
      </c>
    </row>
    <row r="348" spans="4:20" outlineLevel="2" x14ac:dyDescent="0.2">
      <c r="E348" s="8"/>
      <c r="N348" s="4" t="s">
        <v>354</v>
      </c>
      <c r="P348" s="75">
        <f t="shared" ref="P348:T348" si="424">$I340</f>
        <v>5.7000000000000002E-2</v>
      </c>
      <c r="Q348" s="75">
        <f t="shared" si="424"/>
        <v>5.7000000000000002E-2</v>
      </c>
      <c r="R348" s="75">
        <f t="shared" si="424"/>
        <v>5.7000000000000002E-2</v>
      </c>
      <c r="S348" s="75">
        <f t="shared" si="424"/>
        <v>5.7000000000000002E-2</v>
      </c>
      <c r="T348" s="75">
        <f t="shared" si="424"/>
        <v>5.7000000000000002E-2</v>
      </c>
    </row>
    <row r="349" spans="4:20" outlineLevel="2" x14ac:dyDescent="0.2">
      <c r="E349" s="8"/>
      <c r="N349" s="4" t="s">
        <v>355</v>
      </c>
      <c r="P349" s="52">
        <f t="shared" ref="P349" si="425">P347+P348</f>
        <v>8.0600000000000005E-2</v>
      </c>
      <c r="Q349" s="52">
        <f t="shared" ref="Q349" si="426">Q347+Q348</f>
        <v>8.0600000000000005E-2</v>
      </c>
      <c r="R349" s="52">
        <f t="shared" ref="R349" si="427">R347+R348</f>
        <v>8.0600000000000005E-2</v>
      </c>
      <c r="S349" s="52">
        <f t="shared" ref="S349" si="428">S347+S348</f>
        <v>8.0600000000000005E-2</v>
      </c>
      <c r="T349" s="52">
        <f t="shared" ref="T349" si="429">T347+T348</f>
        <v>8.0600000000000005E-2</v>
      </c>
    </row>
    <row r="350" spans="4:20" outlineLevel="2" x14ac:dyDescent="0.2">
      <c r="E350" s="8"/>
    </row>
    <row r="351" spans="4:20" outlineLevel="2" x14ac:dyDescent="0.2">
      <c r="E351" s="8"/>
      <c r="N351" s="4" t="s">
        <v>203</v>
      </c>
      <c r="P351" s="4">
        <f t="shared" ref="P351:T351" si="430">AVERAGE(O340:P340)*P349</f>
        <v>0</v>
      </c>
      <c r="Q351" s="4">
        <f t="shared" si="430"/>
        <v>6512.360105939073</v>
      </c>
      <c r="R351" s="4">
        <f t="shared" si="430"/>
        <v>9768.5401589086086</v>
      </c>
      <c r="S351" s="4">
        <f t="shared" si="430"/>
        <v>3256.1800529695365</v>
      </c>
      <c r="T351" s="4">
        <f t="shared" si="430"/>
        <v>0</v>
      </c>
    </row>
    <row r="352" spans="4:20" outlineLevel="2" x14ac:dyDescent="0.2">
      <c r="E352" s="8"/>
    </row>
    <row r="353" spans="4:20" ht="15" outlineLevel="2" x14ac:dyDescent="0.25">
      <c r="D353" s="72" t="str">
        <f t="shared" ref="D353" si="431">I355</f>
        <v>New debt 3</v>
      </c>
      <c r="E353" s="8"/>
    </row>
    <row r="354" spans="4:20" outlineLevel="2" x14ac:dyDescent="0.2">
      <c r="D354" s="4" t="s">
        <v>305</v>
      </c>
      <c r="E354" s="8" t="str">
        <f t="shared" ref="E354:E357" si="432">Currency</f>
        <v>₦`m</v>
      </c>
      <c r="G354" s="76" t="str">
        <f t="array" ref="G354:G361">TRANSPOSE(D_Headings)</f>
        <v>S/N</v>
      </c>
      <c r="H354" s="77"/>
      <c r="I354" s="78">
        <v>11</v>
      </c>
      <c r="P354" s="4">
        <f t="shared" ref="P354" si="433">O357</f>
        <v>0</v>
      </c>
      <c r="Q354" s="4">
        <f t="shared" ref="Q354" si="434">P357</f>
        <v>0</v>
      </c>
      <c r="R354" s="4">
        <f t="shared" ref="R354" si="435">Q357</f>
        <v>0</v>
      </c>
      <c r="S354" s="4">
        <f t="shared" ref="S354" si="436">R357</f>
        <v>244004.05420305301</v>
      </c>
      <c r="T354" s="4">
        <f t="shared" ref="T354" si="437">S357</f>
        <v>122002.0271015265</v>
      </c>
    </row>
    <row r="355" spans="4:20" outlineLevel="2" x14ac:dyDescent="0.2">
      <c r="D355" s="4" t="s">
        <v>323</v>
      </c>
      <c r="E355" s="8" t="str">
        <f t="shared" si="432"/>
        <v>₦`m</v>
      </c>
      <c r="G355" s="79" t="str">
        <v>Descriptions</v>
      </c>
      <c r="H355" s="80"/>
      <c r="I355" s="81" t="str">
        <f>VLOOKUP(I354,D_Table,MATCH($G355,D_Headings,0),0)</f>
        <v>New debt 3</v>
      </c>
      <c r="P355" s="4">
        <f t="shared" ref="P355:T355" si="438">P359*$I361</f>
        <v>0</v>
      </c>
      <c r="Q355" s="4">
        <f t="shared" si="438"/>
        <v>0</v>
      </c>
      <c r="R355" s="4">
        <f t="shared" si="438"/>
        <v>244004.05420305301</v>
      </c>
      <c r="S355" s="4">
        <f t="shared" si="438"/>
        <v>0</v>
      </c>
      <c r="T355" s="4">
        <f t="shared" si="438"/>
        <v>0</v>
      </c>
    </row>
    <row r="356" spans="4:20" outlineLevel="2" x14ac:dyDescent="0.2">
      <c r="D356" s="4" t="s">
        <v>320</v>
      </c>
      <c r="E356" s="8" t="str">
        <f t="shared" si="432"/>
        <v>₦`m</v>
      </c>
      <c r="G356" s="79" t="str">
        <v>Types</v>
      </c>
      <c r="H356" s="80"/>
      <c r="I356" s="81" t="str">
        <f>VLOOKUP(I354,D_Table,MATCH($G356,D_Headings,0),0)</f>
        <v>Floating</v>
      </c>
      <c r="P356" s="4">
        <f t="shared" ref="P356:T356" si="439">($I361/P362)*P360</f>
        <v>0</v>
      </c>
      <c r="Q356" s="4">
        <f t="shared" si="439"/>
        <v>0</v>
      </c>
      <c r="R356" s="4">
        <f t="shared" si="439"/>
        <v>0</v>
      </c>
      <c r="S356" s="4">
        <f t="shared" si="439"/>
        <v>122002.0271015265</v>
      </c>
      <c r="T356" s="4">
        <f t="shared" si="439"/>
        <v>122002.0271015265</v>
      </c>
    </row>
    <row r="357" spans="4:20" ht="15.75" outlineLevel="2" thickBot="1" x14ac:dyDescent="0.3">
      <c r="D357" s="4" t="s">
        <v>316</v>
      </c>
      <c r="E357" s="8" t="str">
        <f t="shared" si="432"/>
        <v>₦`m</v>
      </c>
      <c r="G357" s="79" t="str">
        <v>Rate/Spread</v>
      </c>
      <c r="H357" s="80"/>
      <c r="I357" s="82">
        <f>VLOOKUP(I354,D_Table,MATCH($G357,D_Headings,0),0)</f>
        <v>1.43E-2</v>
      </c>
      <c r="O357" s="71">
        <f t="shared" ref="O357" si="440">($I358&lt;=O$6)*$I361</f>
        <v>0</v>
      </c>
      <c r="P357" s="73">
        <f t="shared" ref="P357" si="441">P354+P355-P356</f>
        <v>0</v>
      </c>
      <c r="Q357" s="73">
        <f t="shared" ref="Q357" si="442">Q354+Q355-Q356</f>
        <v>0</v>
      </c>
      <c r="R357" s="73">
        <f t="shared" ref="R357" si="443">R354+R355-R356</f>
        <v>244004.05420305301</v>
      </c>
      <c r="S357" s="73">
        <f t="shared" ref="S357" si="444">S354+S355-S356</f>
        <v>122002.0271015265</v>
      </c>
      <c r="T357" s="73">
        <f t="shared" ref="T357" si="445">T354+T355-T356</f>
        <v>0</v>
      </c>
    </row>
    <row r="358" spans="4:20" ht="15" outlineLevel="2" thickTop="1" x14ac:dyDescent="0.2">
      <c r="E358" s="8"/>
      <c r="G358" s="79" t="str">
        <v>Inflow Period</v>
      </c>
      <c r="H358" s="80"/>
      <c r="I358" s="83">
        <f>VLOOKUP(I354,D_Table,MATCH($G358,D_Headings,0),0)</f>
        <v>2023</v>
      </c>
    </row>
    <row r="359" spans="4:20" outlineLevel="2" x14ac:dyDescent="0.2">
      <c r="E359" s="8"/>
      <c r="G359" s="79" t="str">
        <v>Rep. period</v>
      </c>
      <c r="H359" s="80"/>
      <c r="I359" s="83">
        <f>VLOOKUP(I354,D_Table,MATCH($G359,D_Headings,0),0)</f>
        <v>2025</v>
      </c>
      <c r="N359" s="4" t="s">
        <v>353</v>
      </c>
      <c r="P359" s="4" t="b">
        <f t="shared" ref="P359" si="446">P$6=$I358</f>
        <v>0</v>
      </c>
      <c r="Q359" s="4" t="b">
        <f t="shared" ref="Q359" si="447">Q$6=$I358</f>
        <v>0</v>
      </c>
      <c r="R359" s="4" t="b">
        <f t="shared" ref="R359" si="448">R$6=$I358</f>
        <v>1</v>
      </c>
      <c r="S359" s="4" t="b">
        <f t="shared" ref="S359" si="449">S$6=$I358</f>
        <v>0</v>
      </c>
      <c r="T359" s="4" t="b">
        <f t="shared" ref="T359" si="450">T$6=$I358</f>
        <v>0</v>
      </c>
    </row>
    <row r="360" spans="4:20" outlineLevel="2" x14ac:dyDescent="0.2">
      <c r="E360" s="8"/>
      <c r="G360" s="79" t="str">
        <v>Rate factor</v>
      </c>
      <c r="H360" s="80"/>
      <c r="I360" s="81" t="str">
        <f>VLOOKUP(I354,D_Table,MATCH($G360,D_Headings,0),0)</f>
        <v>NIBOR</v>
      </c>
      <c r="N360" s="4" t="s">
        <v>352</v>
      </c>
      <c r="P360" s="4" t="b">
        <f t="shared" ref="P360" si="451">AND($I358&lt;P$6,$I359&gt;=P$6)</f>
        <v>0</v>
      </c>
      <c r="Q360" s="4" t="b">
        <f t="shared" ref="Q360" si="452">AND($I358&lt;Q$6,$I359&gt;=Q$6)</f>
        <v>0</v>
      </c>
      <c r="R360" s="4" t="b">
        <f t="shared" ref="R360" si="453">AND($I358&lt;R$6,$I359&gt;=R$6)</f>
        <v>0</v>
      </c>
      <c r="S360" s="4" t="b">
        <f t="shared" ref="S360" si="454">AND($I358&lt;S$6,$I359&gt;=S$6)</f>
        <v>1</v>
      </c>
      <c r="T360" s="4" t="b">
        <f t="shared" ref="T360" si="455">AND($I358&lt;T$6,$I359&gt;=T$6)</f>
        <v>1</v>
      </c>
    </row>
    <row r="361" spans="4:20" outlineLevel="2" x14ac:dyDescent="0.2">
      <c r="E361" s="8"/>
      <c r="G361" s="84" t="str">
        <v>Amount</v>
      </c>
      <c r="H361" s="85"/>
      <c r="I361" s="86">
        <f>VLOOKUP(I354,D_Table,MATCH($G361,D_Headings,0),0)</f>
        <v>244004.05420305301</v>
      </c>
      <c r="N361" s="4" t="s">
        <v>351</v>
      </c>
      <c r="P361" s="41" t="str">
        <f t="shared" ref="P361" si="456">$I360</f>
        <v>NIBOR</v>
      </c>
      <c r="Q361" s="41" t="str">
        <f t="shared" ref="Q361" si="457">$I360</f>
        <v>NIBOR</v>
      </c>
      <c r="R361" s="41" t="str">
        <f t="shared" ref="R361" si="458">$I360</f>
        <v>NIBOR</v>
      </c>
      <c r="S361" s="41" t="str">
        <f t="shared" ref="S361" si="459">$I360</f>
        <v>NIBOR</v>
      </c>
      <c r="T361" s="41" t="str">
        <f t="shared" ref="T361" si="460">$I360</f>
        <v>NIBOR</v>
      </c>
    </row>
    <row r="362" spans="4:20" outlineLevel="2" x14ac:dyDescent="0.2">
      <c r="E362" s="8"/>
      <c r="N362" s="4" t="s">
        <v>85</v>
      </c>
      <c r="P362" s="4">
        <f t="shared" ref="P362:T362" si="461">IF($I358&gt;0,$I359-$I358,$I359-$O$6)</f>
        <v>2</v>
      </c>
      <c r="Q362" s="4">
        <f t="shared" si="461"/>
        <v>2</v>
      </c>
      <c r="R362" s="4">
        <f t="shared" si="461"/>
        <v>2</v>
      </c>
      <c r="S362" s="4">
        <f t="shared" si="461"/>
        <v>2</v>
      </c>
      <c r="T362" s="4">
        <f t="shared" si="461"/>
        <v>2</v>
      </c>
    </row>
    <row r="363" spans="4:20" outlineLevel="2" x14ac:dyDescent="0.2">
      <c r="E363" s="8"/>
    </row>
    <row r="364" spans="4:20" outlineLevel="2" x14ac:dyDescent="0.2">
      <c r="E364" s="8"/>
      <c r="N364" s="4" t="str">
        <f t="shared" ref="N364" si="462">P361</f>
        <v>NIBOR</v>
      </c>
      <c r="P364" s="75" cm="1">
        <f t="array" ref="P364">INDEX(P$170:P$171,MATCH(P361,$D$170:$D$171,0),0)</f>
        <v>8.5000000000000006E-2</v>
      </c>
      <c r="Q364" s="75" cm="1">
        <f t="array" ref="Q364">INDEX(Q$170:Q$171,MATCH(Q361,$D$170:$D$171,0),0)</f>
        <v>8.5000000000000006E-2</v>
      </c>
      <c r="R364" s="75" cm="1">
        <f t="array" ref="R364">INDEX(R$170:R$171,MATCH(R361,$D$170:$D$171,0),0)</f>
        <v>8.5000000000000006E-2</v>
      </c>
      <c r="S364" s="75" cm="1">
        <f t="array" ref="S364">INDEX(S$170:S$171,MATCH(S361,$D$170:$D$171,0),0)</f>
        <v>8.5000000000000006E-2</v>
      </c>
      <c r="T364" s="75" cm="1">
        <f t="array" ref="T364">INDEX(T$170:T$171,MATCH(T361,$D$170:$D$171,0),0)</f>
        <v>8.5000000000000006E-2</v>
      </c>
    </row>
    <row r="365" spans="4:20" outlineLevel="2" x14ac:dyDescent="0.2">
      <c r="E365" s="8"/>
      <c r="N365" s="4" t="s">
        <v>354</v>
      </c>
      <c r="P365" s="75">
        <f t="shared" ref="P365:T365" si="463">$I357</f>
        <v>1.43E-2</v>
      </c>
      <c r="Q365" s="75">
        <f t="shared" si="463"/>
        <v>1.43E-2</v>
      </c>
      <c r="R365" s="75">
        <f t="shared" si="463"/>
        <v>1.43E-2</v>
      </c>
      <c r="S365" s="75">
        <f t="shared" si="463"/>
        <v>1.43E-2</v>
      </c>
      <c r="T365" s="75">
        <f t="shared" si="463"/>
        <v>1.43E-2</v>
      </c>
    </row>
    <row r="366" spans="4:20" outlineLevel="2" x14ac:dyDescent="0.2">
      <c r="E366" s="8"/>
      <c r="N366" s="4" t="s">
        <v>355</v>
      </c>
      <c r="P366" s="52">
        <f t="shared" ref="P366" si="464">P364+P365</f>
        <v>9.9299999999999999E-2</v>
      </c>
      <c r="Q366" s="52">
        <f t="shared" ref="Q366" si="465">Q364+Q365</f>
        <v>9.9299999999999999E-2</v>
      </c>
      <c r="R366" s="52">
        <f t="shared" ref="R366" si="466">R364+R365</f>
        <v>9.9299999999999999E-2</v>
      </c>
      <c r="S366" s="52">
        <f t="shared" ref="S366" si="467">S364+S365</f>
        <v>9.9299999999999999E-2</v>
      </c>
      <c r="T366" s="52">
        <f t="shared" ref="T366" si="468">T364+T365</f>
        <v>9.9299999999999999E-2</v>
      </c>
    </row>
    <row r="367" spans="4:20" outlineLevel="2" x14ac:dyDescent="0.2">
      <c r="E367" s="8"/>
    </row>
    <row r="368" spans="4:20" outlineLevel="2" x14ac:dyDescent="0.2">
      <c r="E368" s="8"/>
      <c r="N368" s="4" t="s">
        <v>203</v>
      </c>
      <c r="P368" s="4">
        <f t="shared" ref="P368:T368" si="469">AVERAGE(O357:P357)*P366</f>
        <v>0</v>
      </c>
      <c r="Q368" s="4">
        <f t="shared" si="469"/>
        <v>0</v>
      </c>
      <c r="R368" s="4">
        <f t="shared" si="469"/>
        <v>12114.801291181582</v>
      </c>
      <c r="S368" s="4">
        <f t="shared" si="469"/>
        <v>18172.201936772373</v>
      </c>
      <c r="T368" s="4">
        <f t="shared" si="469"/>
        <v>6057.4006455907911</v>
      </c>
    </row>
    <row r="369" spans="4:20" outlineLevel="2" x14ac:dyDescent="0.2">
      <c r="E369" s="8"/>
    </row>
    <row r="370" spans="4:20" ht="15" outlineLevel="2" x14ac:dyDescent="0.25">
      <c r="D370" s="72" t="str">
        <f t="shared" ref="D370" si="470">I372</f>
        <v>New debt 4</v>
      </c>
      <c r="E370" s="8"/>
    </row>
    <row r="371" spans="4:20" outlineLevel="2" x14ac:dyDescent="0.2">
      <c r="D371" s="4" t="s">
        <v>305</v>
      </c>
      <c r="E371" s="8" t="str">
        <f t="shared" ref="E371:E374" si="471">Currency</f>
        <v>₦`m</v>
      </c>
      <c r="G371" s="76" t="str">
        <f t="array" ref="G371:G378">TRANSPOSE(D_Headings)</f>
        <v>S/N</v>
      </c>
      <c r="H371" s="77"/>
      <c r="I371" s="78">
        <v>12</v>
      </c>
      <c r="P371" s="4">
        <f t="shared" ref="P371" si="472">O374</f>
        <v>0</v>
      </c>
      <c r="Q371" s="4">
        <f t="shared" ref="Q371" si="473">P374</f>
        <v>0</v>
      </c>
      <c r="R371" s="4">
        <f t="shared" ref="R371" si="474">Q374</f>
        <v>0</v>
      </c>
      <c r="S371" s="4">
        <f t="shared" ref="S371" si="475">R374</f>
        <v>0</v>
      </c>
      <c r="T371" s="4">
        <f t="shared" ref="T371" si="476">S374</f>
        <v>168469.38906150631</v>
      </c>
    </row>
    <row r="372" spans="4:20" outlineLevel="2" x14ac:dyDescent="0.2">
      <c r="D372" s="4" t="s">
        <v>323</v>
      </c>
      <c r="E372" s="8" t="str">
        <f t="shared" si="471"/>
        <v>₦`m</v>
      </c>
      <c r="G372" s="79" t="str">
        <v>Descriptions</v>
      </c>
      <c r="H372" s="80"/>
      <c r="I372" s="81" t="str">
        <f>VLOOKUP(I371,D_Table,MATCH($G372,D_Headings,0),0)</f>
        <v>New debt 4</v>
      </c>
      <c r="P372" s="4">
        <f t="shared" ref="P372:T372" si="477">P376*$I378</f>
        <v>0</v>
      </c>
      <c r="Q372" s="4">
        <f t="shared" si="477"/>
        <v>0</v>
      </c>
      <c r="R372" s="4">
        <f t="shared" si="477"/>
        <v>0</v>
      </c>
      <c r="S372" s="4">
        <f t="shared" si="477"/>
        <v>168469.38906150631</v>
      </c>
      <c r="T372" s="4">
        <f t="shared" si="477"/>
        <v>0</v>
      </c>
    </row>
    <row r="373" spans="4:20" outlineLevel="2" x14ac:dyDescent="0.2">
      <c r="D373" s="4" t="s">
        <v>320</v>
      </c>
      <c r="E373" s="8" t="str">
        <f t="shared" si="471"/>
        <v>₦`m</v>
      </c>
      <c r="G373" s="79" t="str">
        <v>Types</v>
      </c>
      <c r="H373" s="80"/>
      <c r="I373" s="81" t="str">
        <f>VLOOKUP(I371,D_Table,MATCH($G373,D_Headings,0),0)</f>
        <v>Fixed</v>
      </c>
      <c r="P373" s="4">
        <f t="shared" ref="P373:T373" si="478">($I378/P379)*P377</f>
        <v>0</v>
      </c>
      <c r="Q373" s="4">
        <f t="shared" si="478"/>
        <v>0</v>
      </c>
      <c r="R373" s="4">
        <f t="shared" si="478"/>
        <v>0</v>
      </c>
      <c r="S373" s="4">
        <f t="shared" si="478"/>
        <v>0</v>
      </c>
      <c r="T373" s="4">
        <f t="shared" si="478"/>
        <v>84234.694530753157</v>
      </c>
    </row>
    <row r="374" spans="4:20" ht="15.75" outlineLevel="2" thickBot="1" x14ac:dyDescent="0.3">
      <c r="D374" s="4" t="s">
        <v>316</v>
      </c>
      <c r="E374" s="8" t="str">
        <f t="shared" si="471"/>
        <v>₦`m</v>
      </c>
      <c r="G374" s="79" t="str">
        <v>Rate/Spread</v>
      </c>
      <c r="H374" s="80"/>
      <c r="I374" s="82">
        <f>VLOOKUP(I371,D_Table,MATCH($G374,D_Headings,0),0)</f>
        <v>5.7599999999999998E-2</v>
      </c>
      <c r="O374" s="71">
        <f t="shared" ref="O374" si="479">($I375&lt;=O$6)*$I378</f>
        <v>0</v>
      </c>
      <c r="P374" s="73">
        <f t="shared" ref="P374" si="480">P371+P372-P373</f>
        <v>0</v>
      </c>
      <c r="Q374" s="73">
        <f t="shared" ref="Q374" si="481">Q371+Q372-Q373</f>
        <v>0</v>
      </c>
      <c r="R374" s="73">
        <f t="shared" ref="R374" si="482">R371+R372-R373</f>
        <v>0</v>
      </c>
      <c r="S374" s="73">
        <f t="shared" ref="S374" si="483">S371+S372-S373</f>
        <v>168469.38906150631</v>
      </c>
      <c r="T374" s="73">
        <f t="shared" ref="T374" si="484">T371+T372-T373</f>
        <v>84234.694530753157</v>
      </c>
    </row>
    <row r="375" spans="4:20" ht="15" outlineLevel="2" thickTop="1" x14ac:dyDescent="0.2">
      <c r="E375" s="8"/>
      <c r="G375" s="79" t="str">
        <v>Inflow Period</v>
      </c>
      <c r="H375" s="80"/>
      <c r="I375" s="83">
        <f>VLOOKUP(I371,D_Table,MATCH($G375,D_Headings,0),0)</f>
        <v>2024</v>
      </c>
    </row>
    <row r="376" spans="4:20" outlineLevel="2" x14ac:dyDescent="0.2">
      <c r="E376" s="8"/>
      <c r="G376" s="79" t="str">
        <v>Rep. period</v>
      </c>
      <c r="H376" s="80"/>
      <c r="I376" s="83">
        <f>VLOOKUP(I371,D_Table,MATCH($G376,D_Headings,0),0)</f>
        <v>2026</v>
      </c>
      <c r="N376" s="4" t="s">
        <v>353</v>
      </c>
      <c r="P376" s="4" t="b">
        <f t="shared" ref="P376" si="485">P$6=$I375</f>
        <v>0</v>
      </c>
      <c r="Q376" s="4" t="b">
        <f t="shared" ref="Q376" si="486">Q$6=$I375</f>
        <v>0</v>
      </c>
      <c r="R376" s="4" t="b">
        <f t="shared" ref="R376" si="487">R$6=$I375</f>
        <v>0</v>
      </c>
      <c r="S376" s="4" t="b">
        <f t="shared" ref="S376" si="488">S$6=$I375</f>
        <v>1</v>
      </c>
      <c r="T376" s="4" t="b">
        <f t="shared" ref="T376" si="489">T$6=$I375</f>
        <v>0</v>
      </c>
    </row>
    <row r="377" spans="4:20" outlineLevel="2" x14ac:dyDescent="0.2">
      <c r="E377" s="8"/>
      <c r="G377" s="79" t="str">
        <v>Rate factor</v>
      </c>
      <c r="H377" s="80"/>
      <c r="I377" s="81" t="str">
        <f>VLOOKUP(I371,D_Table,MATCH($G377,D_Headings,0),0)</f>
        <v>LIBOR</v>
      </c>
      <c r="N377" s="4" t="s">
        <v>352</v>
      </c>
      <c r="P377" s="4" t="b">
        <f t="shared" ref="P377" si="490">AND($I375&lt;P$6,$I376&gt;=P$6)</f>
        <v>0</v>
      </c>
      <c r="Q377" s="4" t="b">
        <f t="shared" ref="Q377" si="491">AND($I375&lt;Q$6,$I376&gt;=Q$6)</f>
        <v>0</v>
      </c>
      <c r="R377" s="4" t="b">
        <f t="shared" ref="R377" si="492">AND($I375&lt;R$6,$I376&gt;=R$6)</f>
        <v>0</v>
      </c>
      <c r="S377" s="4" t="b">
        <f t="shared" ref="S377" si="493">AND($I375&lt;S$6,$I376&gt;=S$6)</f>
        <v>0</v>
      </c>
      <c r="T377" s="4" t="b">
        <f t="shared" ref="T377" si="494">AND($I375&lt;T$6,$I376&gt;=T$6)</f>
        <v>1</v>
      </c>
    </row>
    <row r="378" spans="4:20" outlineLevel="2" x14ac:dyDescent="0.2">
      <c r="E378" s="8"/>
      <c r="G378" s="84" t="str">
        <v>Amount</v>
      </c>
      <c r="H378" s="85"/>
      <c r="I378" s="86">
        <f>VLOOKUP(I371,D_Table,MATCH($G378,D_Headings,0),0)</f>
        <v>168469.38906150631</v>
      </c>
      <c r="N378" s="4" t="s">
        <v>351</v>
      </c>
      <c r="P378" s="41" t="str">
        <f t="shared" ref="P378" si="495">$I377</f>
        <v>LIBOR</v>
      </c>
      <c r="Q378" s="41" t="str">
        <f t="shared" ref="Q378" si="496">$I377</f>
        <v>LIBOR</v>
      </c>
      <c r="R378" s="41" t="str">
        <f t="shared" ref="R378" si="497">$I377</f>
        <v>LIBOR</v>
      </c>
      <c r="S378" s="41" t="str">
        <f t="shared" ref="S378" si="498">$I377</f>
        <v>LIBOR</v>
      </c>
      <c r="T378" s="41" t="str">
        <f t="shared" ref="T378" si="499">$I377</f>
        <v>LIBOR</v>
      </c>
    </row>
    <row r="379" spans="4:20" outlineLevel="2" x14ac:dyDescent="0.2">
      <c r="E379" s="8"/>
      <c r="N379" s="4" t="s">
        <v>85</v>
      </c>
      <c r="P379" s="4">
        <f t="shared" ref="P379:T379" si="500">IF($I375&gt;0,$I376-$I375,$I376-$O$6)</f>
        <v>2</v>
      </c>
      <c r="Q379" s="4">
        <f t="shared" si="500"/>
        <v>2</v>
      </c>
      <c r="R379" s="4">
        <f t="shared" si="500"/>
        <v>2</v>
      </c>
      <c r="S379" s="4">
        <f t="shared" si="500"/>
        <v>2</v>
      </c>
      <c r="T379" s="4">
        <f t="shared" si="500"/>
        <v>2</v>
      </c>
    </row>
    <row r="380" spans="4:20" outlineLevel="2" x14ac:dyDescent="0.2">
      <c r="E380" s="8"/>
    </row>
    <row r="381" spans="4:20" outlineLevel="2" x14ac:dyDescent="0.2">
      <c r="E381" s="8"/>
      <c r="N381" s="4" t="str">
        <f t="shared" ref="N381" si="501">P378</f>
        <v>LIBOR</v>
      </c>
      <c r="P381" s="75" cm="1">
        <f t="array" ref="P381">INDEX(P$170:P$171,MATCH(P378,$D$170:$D$171,0),0)</f>
        <v>2.3599999999999999E-2</v>
      </c>
      <c r="Q381" s="75" cm="1">
        <f t="array" ref="Q381">INDEX(Q$170:Q$171,MATCH(Q378,$D$170:$D$171,0),0)</f>
        <v>2.3599999999999999E-2</v>
      </c>
      <c r="R381" s="75" cm="1">
        <f t="array" ref="R381">INDEX(R$170:R$171,MATCH(R378,$D$170:$D$171,0),0)</f>
        <v>2.3599999999999999E-2</v>
      </c>
      <c r="S381" s="75" cm="1">
        <f t="array" ref="S381">INDEX(S$170:S$171,MATCH(S378,$D$170:$D$171,0),0)</f>
        <v>2.3599999999999999E-2</v>
      </c>
      <c r="T381" s="75" cm="1">
        <f t="array" ref="T381">INDEX(T$170:T$171,MATCH(T378,$D$170:$D$171,0),0)</f>
        <v>2.3599999999999999E-2</v>
      </c>
    </row>
    <row r="382" spans="4:20" outlineLevel="2" x14ac:dyDescent="0.2">
      <c r="E382" s="8"/>
      <c r="N382" s="4" t="s">
        <v>354</v>
      </c>
      <c r="P382" s="75">
        <f t="shared" ref="P382:T382" si="502">$I374</f>
        <v>5.7599999999999998E-2</v>
      </c>
      <c r="Q382" s="75">
        <f t="shared" si="502"/>
        <v>5.7599999999999998E-2</v>
      </c>
      <c r="R382" s="75">
        <f t="shared" si="502"/>
        <v>5.7599999999999998E-2</v>
      </c>
      <c r="S382" s="75">
        <f t="shared" si="502"/>
        <v>5.7599999999999998E-2</v>
      </c>
      <c r="T382" s="75">
        <f t="shared" si="502"/>
        <v>5.7599999999999998E-2</v>
      </c>
    </row>
    <row r="383" spans="4:20" outlineLevel="2" x14ac:dyDescent="0.2">
      <c r="E383" s="8"/>
      <c r="N383" s="4" t="s">
        <v>355</v>
      </c>
      <c r="P383" s="52">
        <f t="shared" ref="P383" si="503">P381+P382</f>
        <v>8.1199999999999994E-2</v>
      </c>
      <c r="Q383" s="52">
        <f t="shared" ref="Q383" si="504">Q381+Q382</f>
        <v>8.1199999999999994E-2</v>
      </c>
      <c r="R383" s="52">
        <f t="shared" ref="R383" si="505">R381+R382</f>
        <v>8.1199999999999994E-2</v>
      </c>
      <c r="S383" s="52">
        <f t="shared" ref="S383" si="506">S381+S382</f>
        <v>8.1199999999999994E-2</v>
      </c>
      <c r="T383" s="52">
        <f t="shared" ref="T383" si="507">T381+T382</f>
        <v>8.1199999999999994E-2</v>
      </c>
    </row>
    <row r="384" spans="4:20" outlineLevel="2" x14ac:dyDescent="0.2">
      <c r="E384" s="8"/>
    </row>
    <row r="385" spans="4:20" outlineLevel="2" x14ac:dyDescent="0.2">
      <c r="E385" s="8"/>
      <c r="N385" s="4" t="s">
        <v>203</v>
      </c>
      <c r="P385" s="4">
        <f t="shared" ref="P385:T385" si="508">AVERAGE(O374:P374)*P383</f>
        <v>0</v>
      </c>
      <c r="Q385" s="4">
        <f t="shared" si="508"/>
        <v>0</v>
      </c>
      <c r="R385" s="4">
        <f t="shared" si="508"/>
        <v>0</v>
      </c>
      <c r="S385" s="4">
        <f t="shared" si="508"/>
        <v>6839.8571958971561</v>
      </c>
      <c r="T385" s="4">
        <f t="shared" si="508"/>
        <v>10259.785793845735</v>
      </c>
    </row>
    <row r="386" spans="4:20" outlineLevel="2" x14ac:dyDescent="0.2">
      <c r="E386" s="8"/>
    </row>
    <row r="387" spans="4:20" ht="15" outlineLevel="2" x14ac:dyDescent="0.25">
      <c r="D387" s="72" t="str">
        <f t="shared" ref="D387" si="509">I389</f>
        <v>New debt 5</v>
      </c>
      <c r="E387" s="8"/>
    </row>
    <row r="388" spans="4:20" outlineLevel="2" x14ac:dyDescent="0.2">
      <c r="D388" s="4" t="s">
        <v>305</v>
      </c>
      <c r="E388" s="8" t="str">
        <f t="shared" ref="E388:E391" si="510">Currency</f>
        <v>₦`m</v>
      </c>
      <c r="G388" s="76" t="str">
        <f t="array" ref="G388:G395">TRANSPOSE(D_Headings)</f>
        <v>S/N</v>
      </c>
      <c r="H388" s="77"/>
      <c r="I388" s="78">
        <v>13</v>
      </c>
      <c r="P388" s="4">
        <f t="shared" ref="P388" si="511">O391</f>
        <v>0</v>
      </c>
      <c r="Q388" s="4">
        <f t="shared" ref="Q388" si="512">P391</f>
        <v>0</v>
      </c>
      <c r="R388" s="4">
        <f t="shared" ref="R388" si="513">Q391</f>
        <v>0</v>
      </c>
      <c r="S388" s="4">
        <f t="shared" ref="S388" si="514">R391</f>
        <v>0</v>
      </c>
      <c r="T388" s="4">
        <f t="shared" ref="T388" si="515">S391</f>
        <v>0</v>
      </c>
    </row>
    <row r="389" spans="4:20" outlineLevel="2" x14ac:dyDescent="0.2">
      <c r="D389" s="4" t="s">
        <v>323</v>
      </c>
      <c r="E389" s="8" t="str">
        <f t="shared" si="510"/>
        <v>₦`m</v>
      </c>
      <c r="G389" s="79" t="str">
        <v>Descriptions</v>
      </c>
      <c r="H389" s="80"/>
      <c r="I389" s="81" t="str">
        <f>VLOOKUP(I388,D_Table,MATCH($G389,D_Headings,0),0)</f>
        <v>New debt 5</v>
      </c>
      <c r="P389" s="4">
        <f t="shared" ref="P389:T389" si="516">P393*$I395</f>
        <v>0</v>
      </c>
      <c r="Q389" s="4">
        <f t="shared" si="516"/>
        <v>0</v>
      </c>
      <c r="R389" s="4">
        <f t="shared" si="516"/>
        <v>0</v>
      </c>
      <c r="S389" s="4">
        <f t="shared" si="516"/>
        <v>0</v>
      </c>
      <c r="T389" s="4">
        <f t="shared" si="516"/>
        <v>431522.22438965482</v>
      </c>
    </row>
    <row r="390" spans="4:20" outlineLevel="2" x14ac:dyDescent="0.2">
      <c r="D390" s="4" t="s">
        <v>320</v>
      </c>
      <c r="E390" s="8" t="str">
        <f t="shared" si="510"/>
        <v>₦`m</v>
      </c>
      <c r="G390" s="79" t="str">
        <v>Types</v>
      </c>
      <c r="H390" s="80"/>
      <c r="I390" s="81" t="str">
        <f>VLOOKUP(I388,D_Table,MATCH($G390,D_Headings,0),0)</f>
        <v>Floating</v>
      </c>
      <c r="P390" s="4">
        <f t="shared" ref="P390:T390" si="517">($I395/P396)*P394</f>
        <v>0</v>
      </c>
      <c r="Q390" s="4">
        <f t="shared" si="517"/>
        <v>0</v>
      </c>
      <c r="R390" s="4">
        <f t="shared" si="517"/>
        <v>0</v>
      </c>
      <c r="S390" s="4">
        <f t="shared" si="517"/>
        <v>0</v>
      </c>
      <c r="T390" s="4">
        <f t="shared" si="517"/>
        <v>0</v>
      </c>
    </row>
    <row r="391" spans="4:20" ht="15.75" outlineLevel="2" thickBot="1" x14ac:dyDescent="0.3">
      <c r="D391" s="4" t="s">
        <v>316</v>
      </c>
      <c r="E391" s="8" t="str">
        <f t="shared" si="510"/>
        <v>₦`m</v>
      </c>
      <c r="G391" s="79" t="str">
        <v>Rate/Spread</v>
      </c>
      <c r="H391" s="80"/>
      <c r="I391" s="82">
        <f>VLOOKUP(I388,D_Table,MATCH($G391,D_Headings,0),0)</f>
        <v>1.43E-2</v>
      </c>
      <c r="O391" s="71">
        <f t="shared" ref="O391" si="518">($I392&lt;=O$6)*$I395</f>
        <v>0</v>
      </c>
      <c r="P391" s="73">
        <f t="shared" ref="P391" si="519">P388+P389-P390</f>
        <v>0</v>
      </c>
      <c r="Q391" s="73">
        <f t="shared" ref="Q391" si="520">Q388+Q389-Q390</f>
        <v>0</v>
      </c>
      <c r="R391" s="73">
        <f t="shared" ref="R391" si="521">R388+R389-R390</f>
        <v>0</v>
      </c>
      <c r="S391" s="73">
        <f t="shared" ref="S391" si="522">S388+S389-S390</f>
        <v>0</v>
      </c>
      <c r="T391" s="73">
        <f t="shared" ref="T391" si="523">T388+T389-T390</f>
        <v>431522.22438965482</v>
      </c>
    </row>
    <row r="392" spans="4:20" ht="15" outlineLevel="2" thickTop="1" x14ac:dyDescent="0.2">
      <c r="E392" s="8"/>
      <c r="G392" s="79" t="str">
        <v>Inflow Period</v>
      </c>
      <c r="H392" s="80"/>
      <c r="I392" s="83">
        <f>VLOOKUP(I388,D_Table,MATCH($G392,D_Headings,0),0)</f>
        <v>2025</v>
      </c>
    </row>
    <row r="393" spans="4:20" outlineLevel="2" x14ac:dyDescent="0.2">
      <c r="E393" s="8"/>
      <c r="G393" s="79" t="str">
        <v>Rep. period</v>
      </c>
      <c r="H393" s="80"/>
      <c r="I393" s="83">
        <f>VLOOKUP(I388,D_Table,MATCH($G393,D_Headings,0),0)</f>
        <v>2027</v>
      </c>
      <c r="N393" s="4" t="s">
        <v>353</v>
      </c>
      <c r="P393" s="4" t="b">
        <f t="shared" ref="P393" si="524">P$6=$I392</f>
        <v>0</v>
      </c>
      <c r="Q393" s="4" t="b">
        <f t="shared" ref="Q393" si="525">Q$6=$I392</f>
        <v>0</v>
      </c>
      <c r="R393" s="4" t="b">
        <f t="shared" ref="R393" si="526">R$6=$I392</f>
        <v>0</v>
      </c>
      <c r="S393" s="4" t="b">
        <f t="shared" ref="S393" si="527">S$6=$I392</f>
        <v>0</v>
      </c>
      <c r="T393" s="4" t="b">
        <f t="shared" ref="T393" si="528">T$6=$I392</f>
        <v>1</v>
      </c>
    </row>
    <row r="394" spans="4:20" outlineLevel="2" x14ac:dyDescent="0.2">
      <c r="E394" s="8"/>
      <c r="G394" s="79" t="str">
        <v>Rate factor</v>
      </c>
      <c r="H394" s="80"/>
      <c r="I394" s="81" t="str">
        <f>VLOOKUP(I388,D_Table,MATCH($G394,D_Headings,0),0)</f>
        <v>LIBOR</v>
      </c>
      <c r="N394" s="4" t="s">
        <v>352</v>
      </c>
      <c r="P394" s="4" t="b">
        <f t="shared" ref="P394" si="529">AND($I392&lt;P$6,$I393&gt;=P$6)</f>
        <v>0</v>
      </c>
      <c r="Q394" s="4" t="b">
        <f t="shared" ref="Q394" si="530">AND($I392&lt;Q$6,$I393&gt;=Q$6)</f>
        <v>0</v>
      </c>
      <c r="R394" s="4" t="b">
        <f t="shared" ref="R394" si="531">AND($I392&lt;R$6,$I393&gt;=R$6)</f>
        <v>0</v>
      </c>
      <c r="S394" s="4" t="b">
        <f t="shared" ref="S394" si="532">AND($I392&lt;S$6,$I393&gt;=S$6)</f>
        <v>0</v>
      </c>
      <c r="T394" s="4" t="b">
        <f t="shared" ref="T394" si="533">AND($I392&lt;T$6,$I393&gt;=T$6)</f>
        <v>0</v>
      </c>
    </row>
    <row r="395" spans="4:20" outlineLevel="2" x14ac:dyDescent="0.2">
      <c r="E395" s="8"/>
      <c r="G395" s="84" t="str">
        <v>Amount</v>
      </c>
      <c r="H395" s="85"/>
      <c r="I395" s="86">
        <f>VLOOKUP(I388,D_Table,MATCH($G395,D_Headings,0),0)</f>
        <v>431522.22438965482</v>
      </c>
      <c r="N395" s="4" t="s">
        <v>351</v>
      </c>
      <c r="P395" s="41" t="str">
        <f t="shared" ref="P395" si="534">$I394</f>
        <v>LIBOR</v>
      </c>
      <c r="Q395" s="41" t="str">
        <f t="shared" ref="Q395" si="535">$I394</f>
        <v>LIBOR</v>
      </c>
      <c r="R395" s="41" t="str">
        <f t="shared" ref="R395" si="536">$I394</f>
        <v>LIBOR</v>
      </c>
      <c r="S395" s="41" t="str">
        <f t="shared" ref="S395" si="537">$I394</f>
        <v>LIBOR</v>
      </c>
      <c r="T395" s="41" t="str">
        <f t="shared" ref="T395" si="538">$I394</f>
        <v>LIBOR</v>
      </c>
    </row>
    <row r="396" spans="4:20" outlineLevel="2" x14ac:dyDescent="0.2">
      <c r="E396" s="8"/>
      <c r="N396" s="4" t="s">
        <v>85</v>
      </c>
      <c r="P396" s="4">
        <f t="shared" ref="P396:T396" si="539">IF($I392&gt;0,$I393-$I392,$I393-$O$6)</f>
        <v>2</v>
      </c>
      <c r="Q396" s="4">
        <f t="shared" si="539"/>
        <v>2</v>
      </c>
      <c r="R396" s="4">
        <f t="shared" si="539"/>
        <v>2</v>
      </c>
      <c r="S396" s="4">
        <f t="shared" si="539"/>
        <v>2</v>
      </c>
      <c r="T396" s="4">
        <f t="shared" si="539"/>
        <v>2</v>
      </c>
    </row>
    <row r="397" spans="4:20" outlineLevel="2" x14ac:dyDescent="0.2">
      <c r="E397" s="8"/>
    </row>
    <row r="398" spans="4:20" outlineLevel="2" x14ac:dyDescent="0.2">
      <c r="E398" s="8"/>
      <c r="N398" s="4" t="str">
        <f t="shared" ref="N398" si="540">P395</f>
        <v>LIBOR</v>
      </c>
      <c r="P398" s="75" cm="1">
        <f t="array" ref="P398">INDEX(P$170:P$171,MATCH(P395,$D$170:$D$171,0),0)</f>
        <v>2.3599999999999999E-2</v>
      </c>
      <c r="Q398" s="75" cm="1">
        <f t="array" ref="Q398">INDEX(Q$170:Q$171,MATCH(Q395,$D$170:$D$171,0),0)</f>
        <v>2.3599999999999999E-2</v>
      </c>
      <c r="R398" s="75" cm="1">
        <f t="array" ref="R398">INDEX(R$170:R$171,MATCH(R395,$D$170:$D$171,0),0)</f>
        <v>2.3599999999999999E-2</v>
      </c>
      <c r="S398" s="75" cm="1">
        <f t="array" ref="S398">INDEX(S$170:S$171,MATCH(S395,$D$170:$D$171,0),0)</f>
        <v>2.3599999999999999E-2</v>
      </c>
      <c r="T398" s="75" cm="1">
        <f t="array" ref="T398">INDEX(T$170:T$171,MATCH(T395,$D$170:$D$171,0),0)</f>
        <v>2.3599999999999999E-2</v>
      </c>
    </row>
    <row r="399" spans="4:20" outlineLevel="2" x14ac:dyDescent="0.2">
      <c r="E399" s="8"/>
      <c r="N399" s="4" t="s">
        <v>354</v>
      </c>
      <c r="P399" s="75">
        <f t="shared" ref="P399:T399" si="541">$I391</f>
        <v>1.43E-2</v>
      </c>
      <c r="Q399" s="75">
        <f t="shared" si="541"/>
        <v>1.43E-2</v>
      </c>
      <c r="R399" s="75">
        <f t="shared" si="541"/>
        <v>1.43E-2</v>
      </c>
      <c r="S399" s="75">
        <f t="shared" si="541"/>
        <v>1.43E-2</v>
      </c>
      <c r="T399" s="75">
        <f t="shared" si="541"/>
        <v>1.43E-2</v>
      </c>
    </row>
    <row r="400" spans="4:20" outlineLevel="2" x14ac:dyDescent="0.2">
      <c r="E400" s="8"/>
      <c r="N400" s="4" t="s">
        <v>355</v>
      </c>
      <c r="P400" s="52">
        <f t="shared" ref="P400" si="542">P398+P399</f>
        <v>3.7900000000000003E-2</v>
      </c>
      <c r="Q400" s="52">
        <f t="shared" ref="Q400" si="543">Q398+Q399</f>
        <v>3.7900000000000003E-2</v>
      </c>
      <c r="R400" s="52">
        <f t="shared" ref="R400" si="544">R398+R399</f>
        <v>3.7900000000000003E-2</v>
      </c>
      <c r="S400" s="52">
        <f t="shared" ref="S400" si="545">S398+S399</f>
        <v>3.7900000000000003E-2</v>
      </c>
      <c r="T400" s="52">
        <f t="shared" ref="T400" si="546">T398+T399</f>
        <v>3.7900000000000003E-2</v>
      </c>
    </row>
    <row r="401" spans="3:20" outlineLevel="2" x14ac:dyDescent="0.2">
      <c r="E401" s="8"/>
    </row>
    <row r="402" spans="3:20" outlineLevel="2" x14ac:dyDescent="0.2">
      <c r="E402" s="8"/>
      <c r="N402" s="4" t="s">
        <v>203</v>
      </c>
      <c r="P402" s="4">
        <f t="shared" ref="P402:T402" si="547">AVERAGE(O391:P391)*P400</f>
        <v>0</v>
      </c>
      <c r="Q402" s="4">
        <f t="shared" si="547"/>
        <v>0</v>
      </c>
      <c r="R402" s="4">
        <f t="shared" si="547"/>
        <v>0</v>
      </c>
      <c r="S402" s="4">
        <f t="shared" si="547"/>
        <v>0</v>
      </c>
      <c r="T402" s="4">
        <f t="shared" si="547"/>
        <v>8177.346152183959</v>
      </c>
    </row>
    <row r="403" spans="3:20" outlineLevel="2" x14ac:dyDescent="0.2">
      <c r="E403" s="8"/>
    </row>
    <row r="404" spans="3:20" ht="15.75" outlineLevel="1" x14ac:dyDescent="0.25">
      <c r="C404" s="3" t="s">
        <v>202</v>
      </c>
      <c r="D404" s="3"/>
      <c r="E404" s="29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</row>
    <row r="405" spans="3:20" customFormat="1" outlineLevel="2" x14ac:dyDescent="0.2">
      <c r="D405" t="str">
        <f>Input!D110</f>
        <v>Monetary rate</v>
      </c>
      <c r="E405" s="8" t="str">
        <f>Input!E110</f>
        <v>%age</v>
      </c>
      <c r="P405" s="67">
        <f>Input!P110</f>
        <v>0.115</v>
      </c>
      <c r="Q405" s="67">
        <f>Input!Q110</f>
        <v>0.115</v>
      </c>
      <c r="R405" s="67">
        <f>Input!R110</f>
        <v>0.115</v>
      </c>
      <c r="S405" s="67">
        <f>Input!S110</f>
        <v>0.115</v>
      </c>
      <c r="T405" s="67">
        <f>Input!T110</f>
        <v>0.115</v>
      </c>
    </row>
    <row r="406" spans="3:20" outlineLevel="2" x14ac:dyDescent="0.2">
      <c r="D406" s="4" t="str">
        <f>Input!D113</f>
        <v>Spread on cash deposit</v>
      </c>
      <c r="E406" s="8" t="str">
        <f>Input!E113</f>
        <v>%age</v>
      </c>
      <c r="P406" s="67">
        <f>Input!P113</f>
        <v>1.4999999999999999E-2</v>
      </c>
      <c r="Q406" s="67">
        <f>Input!Q113</f>
        <v>1.4999999999999999E-2</v>
      </c>
      <c r="R406" s="67">
        <f>Input!R113</f>
        <v>1.4999999999999999E-2</v>
      </c>
      <c r="S406" s="67">
        <f>Input!S113</f>
        <v>1.4999999999999999E-2</v>
      </c>
      <c r="T406" s="67">
        <f>Input!T113</f>
        <v>1.4999999999999999E-2</v>
      </c>
    </row>
    <row r="407" spans="3:20" outlineLevel="2" x14ac:dyDescent="0.2">
      <c r="D407" s="4" t="str">
        <f>Input!D114</f>
        <v>Spread on overdraft</v>
      </c>
      <c r="E407" s="8" t="str">
        <f>Input!E114</f>
        <v>%age</v>
      </c>
      <c r="P407" s="67">
        <f>Input!P114</f>
        <v>0.06</v>
      </c>
      <c r="Q407" s="67">
        <f>Input!Q114</f>
        <v>0.06</v>
      </c>
      <c r="R407" s="67">
        <f>Input!R114</f>
        <v>0.06</v>
      </c>
      <c r="S407" s="67">
        <f>Input!S114</f>
        <v>0.06</v>
      </c>
      <c r="T407" s="67">
        <f>Input!T114</f>
        <v>0.06</v>
      </c>
    </row>
    <row r="408" spans="3:20" outlineLevel="2" x14ac:dyDescent="0.2">
      <c r="E408" s="8"/>
    </row>
    <row r="409" spans="3:20" outlineLevel="2" x14ac:dyDescent="0.2">
      <c r="D409" s="4" t="s">
        <v>348</v>
      </c>
      <c r="E409" s="8"/>
      <c r="O409" s="4">
        <f>BS!O26</f>
        <v>275198</v>
      </c>
      <c r="P409" s="4">
        <f>BS!P26</f>
        <v>278775.21446238662</v>
      </c>
      <c r="Q409" s="4">
        <f>BS!Q26</f>
        <v>231303.40844335716</v>
      </c>
      <c r="R409" s="4">
        <f>BS!R26</f>
        <v>306823.37377806439</v>
      </c>
      <c r="S409" s="4">
        <f>BS!S26</f>
        <v>398024.1744725866</v>
      </c>
      <c r="T409" s="4">
        <f>BS!T26</f>
        <v>576467.90413373779</v>
      </c>
    </row>
    <row r="410" spans="3:20" outlineLevel="2" x14ac:dyDescent="0.2">
      <c r="D410" s="4" t="s">
        <v>355</v>
      </c>
      <c r="E410" s="8"/>
      <c r="P410" s="52">
        <f>P405+P406</f>
        <v>0.13</v>
      </c>
      <c r="Q410" s="52">
        <f t="shared" ref="Q410:T410" si="548">Q405+Q406</f>
        <v>0.13</v>
      </c>
      <c r="R410" s="52">
        <f t="shared" si="548"/>
        <v>0.13</v>
      </c>
      <c r="S410" s="52">
        <f t="shared" si="548"/>
        <v>0.13</v>
      </c>
      <c r="T410" s="52">
        <f t="shared" si="548"/>
        <v>0.13</v>
      </c>
    </row>
    <row r="411" spans="3:20" outlineLevel="2" x14ac:dyDescent="0.2">
      <c r="D411" s="4" t="s">
        <v>203</v>
      </c>
      <c r="E411" s="8"/>
      <c r="P411" s="89">
        <f>IF(Cover!$E$16,Calc!P414,Calc!P415)</f>
        <v>35775.74</v>
      </c>
      <c r="Q411" s="89">
        <f>IF(Cover!$E$16,Calc!Q414,Calc!Q415)</f>
        <v>36240.777880110261</v>
      </c>
      <c r="R411" s="89">
        <f>IF(Cover!$E$16,Calc!R414,Calc!R415)</f>
        <v>30069.443097636431</v>
      </c>
      <c r="S411" s="89">
        <f>IF(Cover!$E$16,Calc!S414,Calc!S415)</f>
        <v>39887.038591148368</v>
      </c>
      <c r="T411" s="89">
        <f>IF(Cover!$E$16,Calc!T414,Calc!T415)</f>
        <v>51743.142681436257</v>
      </c>
    </row>
    <row r="412" spans="3:20" outlineLevel="2" x14ac:dyDescent="0.2">
      <c r="E412" s="8"/>
      <c r="P412" s="52"/>
      <c r="Q412" s="52"/>
      <c r="R412" s="52"/>
      <c r="S412" s="52"/>
      <c r="T412" s="52"/>
    </row>
    <row r="413" spans="3:20" outlineLevel="2" x14ac:dyDescent="0.2">
      <c r="E413" s="8"/>
      <c r="P413" s="52"/>
      <c r="Q413" s="52"/>
      <c r="R413" s="52"/>
      <c r="S413" s="52"/>
      <c r="T413" s="52"/>
    </row>
    <row r="414" spans="3:20" ht="15" outlineLevel="2" x14ac:dyDescent="0.25">
      <c r="D414" s="4" t="s">
        <v>202</v>
      </c>
      <c r="E414" s="8"/>
      <c r="P414" s="48">
        <f>AVERAGE(O409:P409)*P410</f>
        <v>36008.258940055137</v>
      </c>
      <c r="Q414" s="48">
        <f t="shared" ref="Q414:T414" si="549">AVERAGE(P409:Q409)*Q410</f>
        <v>33155.110488873346</v>
      </c>
      <c r="R414" s="48">
        <f t="shared" si="549"/>
        <v>34978.240844392407</v>
      </c>
      <c r="S414" s="48">
        <f t="shared" si="549"/>
        <v>45815.090636292312</v>
      </c>
      <c r="T414" s="48">
        <f t="shared" si="549"/>
        <v>63341.985109411085</v>
      </c>
    </row>
    <row r="415" spans="3:20" ht="15" outlineLevel="2" x14ac:dyDescent="0.25">
      <c r="D415" s="4" t="s">
        <v>202</v>
      </c>
      <c r="E415" s="8"/>
      <c r="P415" s="48">
        <f>P410*O409</f>
        <v>35775.74</v>
      </c>
      <c r="Q415" s="48">
        <f t="shared" ref="Q415:T415" si="550">Q410*P409</f>
        <v>36240.777880110261</v>
      </c>
      <c r="R415" s="48">
        <f t="shared" si="550"/>
        <v>30069.443097636431</v>
      </c>
      <c r="S415" s="48">
        <f t="shared" si="550"/>
        <v>39887.038591148368</v>
      </c>
      <c r="T415" s="48">
        <f t="shared" si="550"/>
        <v>51743.142681436257</v>
      </c>
    </row>
    <row r="416" spans="3:20" outlineLevel="2" x14ac:dyDescent="0.2">
      <c r="E416" s="8"/>
    </row>
    <row r="417" spans="5:5" outlineLevel="2" x14ac:dyDescent="0.2">
      <c r="E417" s="8"/>
    </row>
    <row r="418" spans="5:5" outlineLevel="2" x14ac:dyDescent="0.2">
      <c r="E418" s="8"/>
    </row>
    <row r="419" spans="5:5" outlineLevel="1" x14ac:dyDescent="0.2">
      <c r="E419" s="8"/>
    </row>
    <row r="420" spans="5:5" outlineLevel="1" x14ac:dyDescent="0.2">
      <c r="E420" s="8"/>
    </row>
    <row r="421" spans="5:5" x14ac:dyDescent="0.2">
      <c r="E421" s="8"/>
    </row>
    <row r="422" spans="5:5" x14ac:dyDescent="0.2">
      <c r="E422" s="8"/>
    </row>
    <row r="423" spans="5:5" x14ac:dyDescent="0.2">
      <c r="E423" s="8"/>
    </row>
    <row r="424" spans="5:5" x14ac:dyDescent="0.2">
      <c r="E424" s="8"/>
    </row>
    <row r="425" spans="5:5" x14ac:dyDescent="0.2">
      <c r="E425" s="8"/>
    </row>
    <row r="426" spans="5:5" x14ac:dyDescent="0.2">
      <c r="E426" s="8"/>
    </row>
    <row r="427" spans="5:5" x14ac:dyDescent="0.2">
      <c r="E427" s="8"/>
    </row>
    <row r="428" spans="5:5" x14ac:dyDescent="0.2">
      <c r="E428" s="8"/>
    </row>
  </sheetData>
  <phoneticPr fontId="37" type="noConversion"/>
  <pageMargins left="0.7" right="0.7" top="0.75" bottom="0.75" header="0.3" footer="0.3"/>
  <pageSetup paperSize="9" scale="75" fitToHeight="0" orientation="landscape" r:id="rId1"/>
  <headerFooter>
    <oddFooter>&amp;LPrinted on: &amp;D at &amp;T&amp;C&amp;A&amp;R&amp;P of &amp;N</oddFooter>
  </headerFooter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6" r:id="rId5" name="Drop Down 10">
              <controlPr defaultSize="0" autoLine="0" autoPict="0">
                <anchor moveWithCells="1">
                  <from>
                    <xdr:col>17</xdr:col>
                    <xdr:colOff>323850</xdr:colOff>
                    <xdr:row>2</xdr:row>
                    <xdr:rowOff>19050</xdr:rowOff>
                  </from>
                  <to>
                    <xdr:col>19</xdr:col>
                    <xdr:colOff>38100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506DD-268F-4F27-AF50-A90A5DAC1C15}">
  <sheetPr codeName="Sheet11">
    <tabColor rgb="FF00B0F0"/>
    <outlinePr summaryBelow="0" summaryRight="0"/>
    <pageSetUpPr fitToPage="1"/>
  </sheetPr>
  <dimension ref="B1:T75"/>
  <sheetViews>
    <sheetView showGridLines="0" zoomScaleNormal="100" workbookViewId="0">
      <pane ySplit="7" topLeftCell="A8" activePane="bottomLeft" state="frozen"/>
      <selection activeCell="D6" sqref="D6"/>
      <selection pane="bottomLeft" activeCell="A8" sqref="A8"/>
    </sheetView>
  </sheetViews>
  <sheetFormatPr defaultColWidth="8.75" defaultRowHeight="14.25" outlineLevelRow="2" x14ac:dyDescent="0.2"/>
  <cols>
    <col min="1" max="3" width="3.625" style="4" customWidth="1"/>
    <col min="4" max="4" width="30.75" style="4" customWidth="1"/>
    <col min="5" max="5" width="5.5" style="4" customWidth="1"/>
    <col min="6" max="6" width="5.125" style="4" bestFit="1" customWidth="1"/>
    <col min="7" max="7" width="6.625" style="4" bestFit="1" customWidth="1"/>
    <col min="8" max="8" width="1.875" style="4" customWidth="1"/>
    <col min="9" max="9" width="9.25" style="4" bestFit="1" customWidth="1"/>
    <col min="10" max="10" width="11.375" style="4" bestFit="1" customWidth="1"/>
    <col min="11" max="12" width="2.75" style="4" customWidth="1"/>
    <col min="13" max="15" width="9.375" style="4" bestFit="1" customWidth="1"/>
    <col min="16" max="16384" width="8.75" style="4"/>
  </cols>
  <sheetData>
    <row r="1" spans="2:20" ht="5.45" customHeight="1" x14ac:dyDescent="0.2"/>
    <row r="2" spans="2:20" ht="20.25" x14ac:dyDescent="0.3">
      <c r="B2" s="20" t="str">
        <f>Menu!$F$7</f>
        <v>MTN Nigeria Communications Plc.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spans="2:20" ht="18" x14ac:dyDescent="0.25">
      <c r="C3" s="40" t="s">
        <v>64</v>
      </c>
    </row>
    <row r="4" spans="2:20" ht="15" x14ac:dyDescent="0.25">
      <c r="D4" s="96" t="str">
        <f>Scenario</f>
        <v>Live Scenario: Base case</v>
      </c>
    </row>
    <row r="5" spans="2:20" ht="15.75" x14ac:dyDescent="0.25">
      <c r="D5" s="107" t="str">
        <f>Balanced</f>
        <v>Model Balance Check: OK</v>
      </c>
      <c r="M5" s="50" t="s">
        <v>90</v>
      </c>
      <c r="N5" s="42" t="s">
        <v>90</v>
      </c>
      <c r="O5" s="42" t="s">
        <v>90</v>
      </c>
      <c r="P5" s="42" t="s">
        <v>91</v>
      </c>
      <c r="Q5" s="42" t="s">
        <v>91</v>
      </c>
      <c r="R5" s="42" t="s">
        <v>91</v>
      </c>
      <c r="S5" s="42" t="s">
        <v>91</v>
      </c>
      <c r="T5" s="42" t="s">
        <v>91</v>
      </c>
    </row>
    <row r="6" spans="2:20" x14ac:dyDescent="0.2">
      <c r="D6" s="4" t="s">
        <v>85</v>
      </c>
      <c r="M6" s="51">
        <f>N6-1</f>
        <v>2018</v>
      </c>
      <c r="N6" s="38">
        <f>O6-1</f>
        <v>2019</v>
      </c>
      <c r="O6" s="38">
        <f>Menu!$F$14</f>
        <v>2020</v>
      </c>
      <c r="P6" s="37">
        <f>O6+1</f>
        <v>2021</v>
      </c>
      <c r="Q6" s="37">
        <f t="shared" ref="Q6:T6" si="0">P6+1</f>
        <v>2022</v>
      </c>
      <c r="R6" s="37">
        <f t="shared" si="0"/>
        <v>2023</v>
      </c>
      <c r="S6" s="37">
        <f t="shared" si="0"/>
        <v>2024</v>
      </c>
      <c r="T6" s="37">
        <f t="shared" si="0"/>
        <v>2025</v>
      </c>
    </row>
    <row r="7" spans="2:20" ht="25.5" x14ac:dyDescent="0.2">
      <c r="D7" s="8" t="s">
        <v>81</v>
      </c>
      <c r="E7" s="8" t="s">
        <v>82</v>
      </c>
      <c r="F7" s="8" t="s">
        <v>83</v>
      </c>
      <c r="G7" s="8" t="s">
        <v>84</v>
      </c>
      <c r="I7" s="45" t="s">
        <v>118</v>
      </c>
      <c r="J7" s="45" t="s">
        <v>119</v>
      </c>
    </row>
    <row r="9" spans="2:20" ht="15.75" x14ac:dyDescent="0.25">
      <c r="C9" s="3" t="s">
        <v>64</v>
      </c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2:20" outlineLevel="1" x14ac:dyDescent="0.2">
      <c r="D10" s="4" t="s">
        <v>180</v>
      </c>
      <c r="N10" s="41">
        <v>203283</v>
      </c>
      <c r="O10" s="41">
        <v>205214</v>
      </c>
    </row>
    <row r="11" spans="2:20" outlineLevel="1" x14ac:dyDescent="0.2">
      <c r="D11" s="4" t="s">
        <v>181</v>
      </c>
      <c r="N11" s="41" t="str">
        <f>IF(N10=N29,"OK",N10-N29)</f>
        <v>OK</v>
      </c>
      <c r="O11" s="41" t="str">
        <f>IF(O10=O29,"OK",O10-O29)</f>
        <v>OK</v>
      </c>
    </row>
    <row r="12" spans="2:20" outlineLevel="1" x14ac:dyDescent="0.2"/>
    <row r="13" spans="2:20" s="35" customFormat="1" ht="15" outlineLevel="1" x14ac:dyDescent="0.25">
      <c r="D13" s="46" t="s">
        <v>99</v>
      </c>
      <c r="E13" s="47" t="str">
        <f t="shared" ref="E13:E29" si="1">Currency</f>
        <v>₦`m</v>
      </c>
      <c r="M13" s="46">
        <v>1039117.8099999999</v>
      </c>
      <c r="N13" s="46">
        <v>1169831</v>
      </c>
      <c r="O13" s="46">
        <v>1346390</v>
      </c>
      <c r="P13" s="46">
        <f>P43</f>
        <v>1491332.9226699998</v>
      </c>
      <c r="Q13" s="46">
        <f t="shared" ref="Q13:T13" si="2">Q43</f>
        <v>1698584.9502663722</v>
      </c>
      <c r="R13" s="46">
        <f t="shared" si="2"/>
        <v>1914729.8851877681</v>
      </c>
      <c r="S13" s="46">
        <f t="shared" si="2"/>
        <v>2112799.1181610166</v>
      </c>
      <c r="T13" s="46">
        <f t="shared" si="2"/>
        <v>2240623.4648097577</v>
      </c>
    </row>
    <row r="14" spans="2:20" customFormat="1" outlineLevel="2" x14ac:dyDescent="0.2">
      <c r="D14" s="90" t="s">
        <v>186</v>
      </c>
      <c r="E14" s="47" t="str">
        <f t="shared" si="1"/>
        <v>₦`m</v>
      </c>
      <c r="N14">
        <v>443256</v>
      </c>
      <c r="O14" s="4">
        <v>533694</v>
      </c>
      <c r="P14">
        <f>P57</f>
        <v>580128.50691862998</v>
      </c>
      <c r="Q14" s="4">
        <f t="shared" ref="Q14:T14" si="3">Q57</f>
        <v>667543.88545468426</v>
      </c>
      <c r="R14" s="4">
        <f t="shared" si="3"/>
        <v>838651.68971224246</v>
      </c>
      <c r="S14" s="4">
        <f t="shared" si="3"/>
        <v>927518.81287268631</v>
      </c>
      <c r="T14" s="4">
        <f t="shared" si="3"/>
        <v>983633.70105148386</v>
      </c>
    </row>
    <row r="15" spans="2:20" ht="15" outlineLevel="1" x14ac:dyDescent="0.25">
      <c r="D15" s="46" t="s">
        <v>183</v>
      </c>
      <c r="E15" s="47" t="str">
        <f t="shared" si="1"/>
        <v>₦`m</v>
      </c>
      <c r="N15" s="48">
        <f>N13-N14</f>
        <v>726575</v>
      </c>
      <c r="O15" s="48">
        <f>O13-O14</f>
        <v>812696</v>
      </c>
      <c r="P15" s="48">
        <f>P13-P14</f>
        <v>911204.41575136979</v>
      </c>
      <c r="Q15" s="48">
        <f t="shared" ref="Q15:T15" si="4">Q13-Q14</f>
        <v>1031041.0648116879</v>
      </c>
      <c r="R15" s="48">
        <f t="shared" si="4"/>
        <v>1076078.1954755257</v>
      </c>
      <c r="S15" s="48">
        <f t="shared" si="4"/>
        <v>1185280.3052883302</v>
      </c>
      <c r="T15" s="48">
        <f t="shared" si="4"/>
        <v>1256989.7637582738</v>
      </c>
    </row>
    <row r="16" spans="2:20" outlineLevel="2" x14ac:dyDescent="0.2">
      <c r="D16" s="90" t="s">
        <v>184</v>
      </c>
      <c r="E16" s="47" t="str">
        <f t="shared" si="1"/>
        <v>₦`m</v>
      </c>
      <c r="N16" s="4">
        <v>101544</v>
      </c>
      <c r="O16" s="4">
        <v>127060</v>
      </c>
      <c r="P16" s="4">
        <f>P63</f>
        <v>135711.29596296998</v>
      </c>
      <c r="Q16" s="4">
        <f t="shared" ref="Q16:T16" si="5">Q63</f>
        <v>157968.40037477261</v>
      </c>
      <c r="R16" s="4">
        <f t="shared" si="5"/>
        <v>291038.94254854077</v>
      </c>
      <c r="S16" s="4">
        <f t="shared" si="5"/>
        <v>325371.06419679656</v>
      </c>
      <c r="T16" s="4">
        <f t="shared" si="5"/>
        <v>345056.01358070283</v>
      </c>
    </row>
    <row r="17" spans="3:20" ht="15" outlineLevel="1" x14ac:dyDescent="0.25">
      <c r="D17" s="46" t="s">
        <v>188</v>
      </c>
      <c r="E17" s="47" t="str">
        <f t="shared" si="1"/>
        <v>₦`m</v>
      </c>
      <c r="N17" s="48">
        <f t="shared" ref="N17:P17" si="6">N15-N16</f>
        <v>625031</v>
      </c>
      <c r="O17" s="48">
        <f t="shared" si="6"/>
        <v>685636</v>
      </c>
      <c r="P17" s="48">
        <f t="shared" si="6"/>
        <v>775493.11978839978</v>
      </c>
      <c r="Q17" s="48">
        <f t="shared" ref="Q17:T17" si="7">Q15-Q16</f>
        <v>873072.66443691531</v>
      </c>
      <c r="R17" s="48">
        <f t="shared" si="7"/>
        <v>785039.25292698492</v>
      </c>
      <c r="S17" s="48">
        <f t="shared" si="7"/>
        <v>859909.24109153356</v>
      </c>
      <c r="T17" s="48">
        <f t="shared" si="7"/>
        <v>911933.75017757097</v>
      </c>
    </row>
    <row r="18" spans="3:20" outlineLevel="2" x14ac:dyDescent="0.2">
      <c r="D18" s="90" t="s">
        <v>194</v>
      </c>
      <c r="E18" s="47" t="str">
        <f t="shared" si="1"/>
        <v>₦`m</v>
      </c>
      <c r="N18" s="4">
        <v>147807</v>
      </c>
      <c r="O18" s="4">
        <v>150203</v>
      </c>
      <c r="P18" s="4">
        <f>Calc!P79</f>
        <v>166049.99400000001</v>
      </c>
      <c r="Q18" s="4">
        <f>Calc!Q79</f>
        <v>161544.711446</v>
      </c>
      <c r="R18" s="4">
        <f>Calc!R79</f>
        <v>228061.97464017002</v>
      </c>
      <c r="S18" s="4">
        <f>Calc!S79</f>
        <v>221038.47260862211</v>
      </c>
      <c r="T18" s="4">
        <f>Calc!T79</f>
        <v>187531.49357685991</v>
      </c>
    </row>
    <row r="19" spans="3:20" outlineLevel="2" x14ac:dyDescent="0.2">
      <c r="D19" s="90" t="s">
        <v>109</v>
      </c>
      <c r="E19" s="47" t="str">
        <f t="shared" si="1"/>
        <v>₦`m</v>
      </c>
      <c r="N19" s="4">
        <v>29997</v>
      </c>
      <c r="O19" s="4">
        <v>36699</v>
      </c>
      <c r="P19" s="4">
        <f>Calc!P91+Calc!P97</f>
        <v>31568.160000000003</v>
      </c>
      <c r="Q19" s="4">
        <f>Calc!Q91+Calc!Q97</f>
        <v>34600.415337990147</v>
      </c>
      <c r="R19" s="4">
        <f>Calc!R91+Calc!R97</f>
        <v>34066.975258440376</v>
      </c>
      <c r="S19" s="4">
        <f>Calc!S91+Calc!S97</f>
        <v>37041.34878791996</v>
      </c>
      <c r="T19" s="4">
        <f>Calc!T91+Calc!T97</f>
        <v>39663.809278287015</v>
      </c>
    </row>
    <row r="20" spans="3:20" outlineLevel="2" x14ac:dyDescent="0.2">
      <c r="D20" s="90" t="s">
        <v>110</v>
      </c>
      <c r="E20" s="47" t="str">
        <f t="shared" si="1"/>
        <v>₦`m</v>
      </c>
      <c r="N20" s="4">
        <v>54002</v>
      </c>
      <c r="O20" s="4">
        <v>72125</v>
      </c>
      <c r="P20" s="4">
        <f>Calc!P85</f>
        <v>45276.619999999995</v>
      </c>
      <c r="Q20" s="4">
        <f>Calc!Q85</f>
        <v>70975.645319999996</v>
      </c>
      <c r="R20" s="4">
        <f>Calc!R85</f>
        <v>57184.556291949993</v>
      </c>
      <c r="S20" s="4">
        <f>Calc!S85</f>
        <v>66381.759582266313</v>
      </c>
      <c r="T20" s="4">
        <f>Calc!T85</f>
        <v>64371.621778982881</v>
      </c>
    </row>
    <row r="21" spans="3:20" ht="15" outlineLevel="1" x14ac:dyDescent="0.25">
      <c r="D21" s="46" t="s">
        <v>191</v>
      </c>
      <c r="E21" s="47" t="str">
        <f t="shared" si="1"/>
        <v>₦`m</v>
      </c>
      <c r="N21" s="48">
        <f t="shared" ref="N21:P21" si="8">N17-N18-N19-N20</f>
        <v>393225</v>
      </c>
      <c r="O21" s="48">
        <f t="shared" si="8"/>
        <v>426609</v>
      </c>
      <c r="P21" s="48">
        <f t="shared" si="8"/>
        <v>532598.34578839969</v>
      </c>
      <c r="Q21" s="48">
        <f t="shared" ref="Q21:T21" si="9">Q17-Q18-Q19-Q20</f>
        <v>605951.89233292511</v>
      </c>
      <c r="R21" s="48">
        <f t="shared" si="9"/>
        <v>465725.74673642457</v>
      </c>
      <c r="S21" s="48">
        <f t="shared" si="9"/>
        <v>535447.66011272511</v>
      </c>
      <c r="T21" s="48">
        <f t="shared" si="9"/>
        <v>620366.82554344111</v>
      </c>
    </row>
    <row r="22" spans="3:20" outlineLevel="2" x14ac:dyDescent="0.2">
      <c r="D22" s="90" t="s">
        <v>100</v>
      </c>
      <c r="E22" s="47" t="str">
        <f t="shared" si="1"/>
        <v>₦`m</v>
      </c>
      <c r="N22" s="4">
        <v>0</v>
      </c>
      <c r="O22" s="4">
        <v>104</v>
      </c>
      <c r="P22" s="4">
        <f>Calc!P52</f>
        <v>104</v>
      </c>
      <c r="Q22" s="4">
        <f>Calc!Q52</f>
        <v>104</v>
      </c>
      <c r="R22" s="4">
        <f>Calc!R52</f>
        <v>104</v>
      </c>
      <c r="S22" s="4">
        <f>Calc!S52</f>
        <v>104</v>
      </c>
      <c r="T22" s="4">
        <f>Calc!T52</f>
        <v>104</v>
      </c>
    </row>
    <row r="23" spans="3:20" outlineLevel="2" x14ac:dyDescent="0.2">
      <c r="D23" s="90" t="s">
        <v>202</v>
      </c>
      <c r="E23" s="8" t="str">
        <f t="shared" si="1"/>
        <v>₦`m</v>
      </c>
      <c r="N23" s="4">
        <f>20132-28-690</f>
        <v>19414</v>
      </c>
      <c r="O23" s="4">
        <f>15848-0-1275</f>
        <v>14573</v>
      </c>
      <c r="P23" s="4">
        <f>Calc!P411</f>
        <v>35775.74</v>
      </c>
      <c r="Q23" s="4">
        <f>Calc!Q411</f>
        <v>36240.777880110261</v>
      </c>
      <c r="R23" s="4">
        <f>Calc!R411</f>
        <v>30069.443097636431</v>
      </c>
      <c r="S23" s="4">
        <f>Calc!S411</f>
        <v>39887.038591148368</v>
      </c>
      <c r="T23" s="4">
        <f>Calc!T411</f>
        <v>51743.142681436257</v>
      </c>
    </row>
    <row r="24" spans="3:20" outlineLevel="2" x14ac:dyDescent="0.2">
      <c r="D24" s="90" t="s">
        <v>201</v>
      </c>
      <c r="E24" s="8" t="str">
        <f t="shared" si="1"/>
        <v>₦`m</v>
      </c>
      <c r="N24" s="4">
        <f>28+690</f>
        <v>718</v>
      </c>
      <c r="O24" s="4">
        <f>0+1275</f>
        <v>1275</v>
      </c>
      <c r="P24" s="4">
        <f>Calc!P53</f>
        <v>996.5</v>
      </c>
      <c r="Q24" s="4">
        <f>Calc!Q53</f>
        <v>1135.75</v>
      </c>
      <c r="R24" s="4">
        <f>Calc!R53</f>
        <v>1066.125</v>
      </c>
      <c r="S24" s="4">
        <f>Calc!S53</f>
        <v>1100.9375</v>
      </c>
      <c r="T24" s="4">
        <f>Calc!T53</f>
        <v>1083.53125</v>
      </c>
    </row>
    <row r="25" spans="3:20" outlineLevel="2" x14ac:dyDescent="0.2">
      <c r="D25" s="90" t="s">
        <v>203</v>
      </c>
      <c r="E25" s="8" t="str">
        <f t="shared" si="1"/>
        <v>₦`m</v>
      </c>
      <c r="N25" s="4">
        <f>122080-2907-251-0</f>
        <v>118922</v>
      </c>
      <c r="O25" s="4">
        <f>143687-10051+70-22</f>
        <v>133684</v>
      </c>
      <c r="P25" s="4">
        <f>Calc!P181</f>
        <v>133160.2566985329</v>
      </c>
      <c r="Q25" s="4">
        <f>Calc!Q181</f>
        <v>128701.4808092515</v>
      </c>
      <c r="R25" s="4">
        <f>Calc!R181</f>
        <v>131559.91457372071</v>
      </c>
      <c r="S25" s="4">
        <f>Calc!S181</f>
        <v>123657.08466577917</v>
      </c>
      <c r="T25" s="4">
        <f>Calc!T181</f>
        <v>114379.06016495982</v>
      </c>
    </row>
    <row r="26" spans="3:20" outlineLevel="2" x14ac:dyDescent="0.2">
      <c r="D26" s="90" t="s">
        <v>204</v>
      </c>
      <c r="E26" s="8" t="str">
        <f t="shared" si="1"/>
        <v>₦`m</v>
      </c>
      <c r="N26" s="4">
        <f>2907+251+0</f>
        <v>3158</v>
      </c>
      <c r="O26" s="4">
        <f>10051-70+22</f>
        <v>10003</v>
      </c>
      <c r="P26" s="4">
        <f>Calc!P54</f>
        <v>6580.5</v>
      </c>
      <c r="Q26" s="4">
        <f>Calc!Q54</f>
        <v>8291.75</v>
      </c>
      <c r="R26" s="4">
        <f>Calc!R54</f>
        <v>7436.125</v>
      </c>
      <c r="S26" s="4">
        <f>Calc!S54</f>
        <v>7863.9375</v>
      </c>
      <c r="T26" s="4">
        <f>Calc!T54</f>
        <v>7650.03125</v>
      </c>
    </row>
    <row r="27" spans="3:20" ht="15" outlineLevel="1" x14ac:dyDescent="0.25">
      <c r="D27" s="46" t="s">
        <v>192</v>
      </c>
      <c r="E27" s="8" t="str">
        <f t="shared" si="1"/>
        <v>₦`m</v>
      </c>
      <c r="N27" s="48">
        <f>N21+N22+N23+N24-N25-N26</f>
        <v>291277</v>
      </c>
      <c r="O27" s="48">
        <f>O21+O22+O23+O24-O25-O26</f>
        <v>298874</v>
      </c>
      <c r="P27" s="48">
        <f>P21+P22+P23+P24-P25-P26</f>
        <v>429733.82908986678</v>
      </c>
      <c r="Q27" s="48">
        <f t="shared" ref="Q27:T27" si="10">Q21+Q22+Q23+Q24-Q25-Q26</f>
        <v>506439.18940378394</v>
      </c>
      <c r="R27" s="48">
        <f t="shared" si="10"/>
        <v>357969.27526034031</v>
      </c>
      <c r="S27" s="48">
        <f t="shared" si="10"/>
        <v>445018.6140380943</v>
      </c>
      <c r="T27" s="48">
        <f t="shared" si="10"/>
        <v>551268.40805991751</v>
      </c>
    </row>
    <row r="28" spans="3:20" outlineLevel="2" x14ac:dyDescent="0.2">
      <c r="D28" s="90" t="s">
        <v>116</v>
      </c>
      <c r="E28" s="8" t="str">
        <f t="shared" si="1"/>
        <v>₦`m</v>
      </c>
      <c r="N28" s="4">
        <v>87994</v>
      </c>
      <c r="O28" s="4">
        <v>93660</v>
      </c>
      <c r="P28" s="4">
        <f>Calc!P67</f>
        <v>130639.08404331951</v>
      </c>
      <c r="Q28" s="4">
        <f>Calc!Q67</f>
        <v>153957.51357875034</v>
      </c>
      <c r="R28" s="4">
        <f>Calc!R67</f>
        <v>108822.65967914346</v>
      </c>
      <c r="S28" s="4">
        <f>Calc!S67</f>
        <v>135285.65866758066</v>
      </c>
      <c r="T28" s="4">
        <f>Calc!T67</f>
        <v>167585.59605021492</v>
      </c>
    </row>
    <row r="29" spans="3:20" ht="15" outlineLevel="1" x14ac:dyDescent="0.25">
      <c r="D29" s="46" t="s">
        <v>193</v>
      </c>
      <c r="E29" s="8" t="str">
        <f t="shared" si="1"/>
        <v>₦`m</v>
      </c>
      <c r="N29" s="48">
        <f t="shared" ref="N29:P29" si="11">N27-N28</f>
        <v>203283</v>
      </c>
      <c r="O29" s="48">
        <f t="shared" si="11"/>
        <v>205214</v>
      </c>
      <c r="P29" s="48">
        <f t="shared" si="11"/>
        <v>299094.74504654726</v>
      </c>
      <c r="Q29" s="48">
        <f t="shared" ref="Q29:T29" si="12">Q27-Q28</f>
        <v>352481.67582503357</v>
      </c>
      <c r="R29" s="48">
        <f t="shared" si="12"/>
        <v>249146.61558119685</v>
      </c>
      <c r="S29" s="48">
        <f t="shared" si="12"/>
        <v>309732.95537051361</v>
      </c>
      <c r="T29" s="48">
        <f t="shared" si="12"/>
        <v>383682.81200970255</v>
      </c>
    </row>
    <row r="30" spans="3:20" outlineLevel="1" x14ac:dyDescent="0.2"/>
    <row r="31" spans="3:20" outlineLevel="1" x14ac:dyDescent="0.2"/>
    <row r="32" spans="3:20" ht="15.75" x14ac:dyDescent="0.25">
      <c r="C32" s="3" t="s">
        <v>195</v>
      </c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</row>
    <row r="33" spans="3:20" ht="15" outlineLevel="1" x14ac:dyDescent="0.25">
      <c r="C33" s="46" t="s">
        <v>99</v>
      </c>
      <c r="E33" s="8" t="str">
        <f t="shared" ref="E33:E43" si="13">Currency</f>
        <v>₦`m</v>
      </c>
      <c r="N33" s="46"/>
      <c r="O33" s="46"/>
    </row>
    <row r="34" spans="3:20" customFormat="1" outlineLevel="2" x14ac:dyDescent="0.2">
      <c r="D34" s="4" t="s">
        <v>168</v>
      </c>
      <c r="E34" s="8" t="str">
        <f t="shared" si="13"/>
        <v>₦`m</v>
      </c>
      <c r="F34" s="4"/>
      <c r="G34" s="4"/>
      <c r="H34" s="4"/>
      <c r="I34" s="4"/>
      <c r="J34" s="4"/>
      <c r="K34" s="4"/>
      <c r="L34" s="4"/>
      <c r="M34" s="4">
        <v>681911.41200000001</v>
      </c>
      <c r="N34" s="4">
        <v>725449</v>
      </c>
      <c r="O34" s="4">
        <v>766389</v>
      </c>
      <c r="P34">
        <f>Calc!P20</f>
        <v>924626.41205539985</v>
      </c>
      <c r="Q34" s="4">
        <f>Calc!Q20</f>
        <v>1010658.0454084914</v>
      </c>
      <c r="R34" s="4">
        <f>Calc!R20</f>
        <v>1154582.1207682241</v>
      </c>
      <c r="S34" s="4">
        <f>Calc!S20</f>
        <v>1269792.270014771</v>
      </c>
      <c r="T34" s="4">
        <f>Calc!T20</f>
        <v>1346614.7023506647</v>
      </c>
    </row>
    <row r="35" spans="3:20" outlineLevel="2" x14ac:dyDescent="0.2">
      <c r="D35" s="4" t="s">
        <v>169</v>
      </c>
      <c r="E35" s="8" t="str">
        <f t="shared" si="13"/>
        <v>₦`m</v>
      </c>
      <c r="M35" s="4">
        <v>154134.27499999999</v>
      </c>
      <c r="N35" s="4">
        <v>219398</v>
      </c>
      <c r="O35" s="4">
        <v>332371</v>
      </c>
      <c r="P35" s="4">
        <f>Calc!P21</f>
        <v>280370.58946195996</v>
      </c>
      <c r="Q35" s="4">
        <f>Calc!Q21</f>
        <v>368592.93420780275</v>
      </c>
      <c r="R35" s="4">
        <f>Calc!R21</f>
        <v>396349.08623386791</v>
      </c>
      <c r="S35" s="4">
        <f>Calc!S21</f>
        <v>443687.81481381349</v>
      </c>
      <c r="T35" s="4">
        <f>Calc!T21</f>
        <v>468290.30414523941</v>
      </c>
    </row>
    <row r="36" spans="3:20" outlineLevel="2" x14ac:dyDescent="0.2">
      <c r="D36" s="4" t="s">
        <v>170</v>
      </c>
      <c r="E36" s="8" t="str">
        <f t="shared" si="13"/>
        <v>₦`m</v>
      </c>
      <c r="M36" s="4">
        <v>14306.527</v>
      </c>
      <c r="N36" s="4">
        <v>13505</v>
      </c>
      <c r="O36" s="4">
        <v>12330</v>
      </c>
      <c r="P36" s="4">
        <f>Calc!P22</f>
        <v>17895.995072039997</v>
      </c>
      <c r="Q36" s="4">
        <f>Calc!Q22</f>
        <v>16985.849502663721</v>
      </c>
      <c r="R36" s="4">
        <f>Calc!R22</f>
        <v>21062.028737065444</v>
      </c>
      <c r="S36" s="4">
        <f>Calc!S22</f>
        <v>23240.790299771183</v>
      </c>
      <c r="T36" s="4">
        <f>Calc!T22</f>
        <v>24646.858112907339</v>
      </c>
    </row>
    <row r="37" spans="3:20" outlineLevel="2" x14ac:dyDescent="0.2">
      <c r="D37" s="4" t="s">
        <v>171</v>
      </c>
      <c r="E37" s="8" t="str">
        <f t="shared" si="13"/>
        <v>₦`m</v>
      </c>
      <c r="M37" s="4">
        <v>102568.90700000001</v>
      </c>
      <c r="N37" s="4">
        <v>125042</v>
      </c>
      <c r="O37" s="4">
        <v>133078</v>
      </c>
      <c r="P37" s="4">
        <f>Calc!P23</f>
        <v>159572.62272568996</v>
      </c>
      <c r="Q37" s="4">
        <f>Calc!Q23</f>
        <v>174954.24987743632</v>
      </c>
      <c r="R37" s="4">
        <f>Calc!R23</f>
        <v>199131.90805952786</v>
      </c>
      <c r="S37" s="4">
        <f>Calc!S23</f>
        <v>219731.10828874572</v>
      </c>
      <c r="T37" s="4">
        <f>Calc!T23</f>
        <v>233024.84034021484</v>
      </c>
    </row>
    <row r="38" spans="3:20" outlineLevel="2" x14ac:dyDescent="0.2">
      <c r="D38" s="4" t="s">
        <v>172</v>
      </c>
      <c r="E38" s="8" t="str">
        <f t="shared" si="13"/>
        <v>₦`m</v>
      </c>
      <c r="M38" s="4">
        <v>2200.7570000000001</v>
      </c>
      <c r="N38" s="4">
        <v>2208</v>
      </c>
      <c r="O38" s="4">
        <v>7358</v>
      </c>
      <c r="P38" s="4">
        <f>Calc!P24</f>
        <v>2982.6658453399996</v>
      </c>
      <c r="Q38" s="4">
        <f>Calc!Q24</f>
        <v>6794.3398010654892</v>
      </c>
      <c r="R38" s="4">
        <f>Calc!R24</f>
        <v>5744.1896555633039</v>
      </c>
      <c r="S38" s="4">
        <f>Calc!S24</f>
        <v>6338.3973544830496</v>
      </c>
      <c r="T38" s="4">
        <f>Calc!T24</f>
        <v>6721.8703944292747</v>
      </c>
    </row>
    <row r="39" spans="3:20" outlineLevel="2" x14ac:dyDescent="0.2">
      <c r="D39" s="4" t="s">
        <v>173</v>
      </c>
      <c r="E39" s="8" t="str">
        <f t="shared" si="13"/>
        <v>₦`m</v>
      </c>
      <c r="M39" s="4">
        <v>40706.065999999999</v>
      </c>
      <c r="N39" s="4">
        <v>35939</v>
      </c>
      <c r="O39" s="4">
        <v>37038</v>
      </c>
      <c r="P39" s="4">
        <f>Calc!P25</f>
        <v>46231.320602769993</v>
      </c>
      <c r="Q39" s="4">
        <f>Calc!Q25</f>
        <v>49258.963557724797</v>
      </c>
      <c r="R39" s="4">
        <f>Calc!R25</f>
        <v>57441.896555633037</v>
      </c>
      <c r="S39" s="4">
        <f>Calc!S25</f>
        <v>63383.973544830493</v>
      </c>
      <c r="T39" s="4">
        <f>Calc!T25</f>
        <v>67218.703944292734</v>
      </c>
    </row>
    <row r="40" spans="3:20" outlineLevel="2" x14ac:dyDescent="0.2">
      <c r="D40" s="4" t="s">
        <v>102</v>
      </c>
      <c r="E40" s="8" t="str">
        <f t="shared" si="13"/>
        <v>₦`m</v>
      </c>
      <c r="M40" s="4">
        <v>32275.868999999999</v>
      </c>
      <c r="N40" s="4">
        <v>37167</v>
      </c>
      <c r="O40" s="4">
        <v>46444</v>
      </c>
      <c r="P40" s="4">
        <f>Calc!P26</f>
        <v>47722.653525439993</v>
      </c>
      <c r="Q40" s="4">
        <f>Calc!Q26</f>
        <v>56053.303358790283</v>
      </c>
      <c r="R40" s="4">
        <f>Calc!R26</f>
        <v>63186.086211196343</v>
      </c>
      <c r="S40" s="4">
        <f>Calc!S26</f>
        <v>69722.370899313551</v>
      </c>
      <c r="T40" s="4">
        <f>Calc!T26</f>
        <v>73940.574338722028</v>
      </c>
    </row>
    <row r="41" spans="3:20" outlineLevel="2" x14ac:dyDescent="0.2">
      <c r="D41" s="4" t="s">
        <v>174</v>
      </c>
      <c r="E41" s="8" t="str">
        <f t="shared" si="13"/>
        <v>₦`m</v>
      </c>
      <c r="M41" s="4">
        <v>11013.996999999999</v>
      </c>
      <c r="N41" s="4">
        <v>11026</v>
      </c>
      <c r="O41" s="4">
        <v>11287</v>
      </c>
      <c r="P41" s="4">
        <f>Calc!P27</f>
        <v>11781.530089092859</v>
      </c>
      <c r="Q41" s="4">
        <f>Calc!Q27</f>
        <v>15117.406057370745</v>
      </c>
      <c r="R41" s="4">
        <f>Calc!R27</f>
        <v>17041.095978171172</v>
      </c>
      <c r="S41" s="4">
        <f>Calc!S27</f>
        <v>16691.113033472069</v>
      </c>
      <c r="T41" s="4">
        <f>Calc!T27</f>
        <v>19941.548836806891</v>
      </c>
    </row>
    <row r="42" spans="3:20" outlineLevel="2" x14ac:dyDescent="0.2">
      <c r="D42" s="4" t="s">
        <v>175</v>
      </c>
      <c r="E42" s="8" t="str">
        <f t="shared" si="13"/>
        <v>₦`m</v>
      </c>
      <c r="N42" s="4">
        <v>97</v>
      </c>
      <c r="O42" s="4">
        <v>95</v>
      </c>
      <c r="P42" s="4">
        <f>Calc!P28</f>
        <v>149.13329226699997</v>
      </c>
      <c r="Q42" s="4">
        <f>Calc!Q28</f>
        <v>169.85849502663723</v>
      </c>
      <c r="R42" s="4">
        <f>Calc!R28</f>
        <v>191.47298851877679</v>
      </c>
      <c r="S42" s="4">
        <f>Calc!S28</f>
        <v>211.27991181610167</v>
      </c>
      <c r="T42" s="4">
        <f>Calc!T28</f>
        <v>224.06234648097583</v>
      </c>
    </row>
    <row r="43" spans="3:20" ht="15" outlineLevel="2" x14ac:dyDescent="0.25">
      <c r="D43" s="46" t="s">
        <v>177</v>
      </c>
      <c r="E43" s="8" t="str">
        <f t="shared" si="13"/>
        <v>₦`m</v>
      </c>
      <c r="M43" s="46">
        <f>SUM(M34:M42)</f>
        <v>1039117.8099999999</v>
      </c>
      <c r="N43" s="46">
        <f>SUM(N34:N42)</f>
        <v>1169831</v>
      </c>
      <c r="O43" s="46">
        <f>SUM(O34:O42)</f>
        <v>1346390</v>
      </c>
      <c r="P43" s="46">
        <f>SUM(P34:P42)</f>
        <v>1491332.9226699998</v>
      </c>
      <c r="Q43" s="46">
        <f t="shared" ref="Q43:T43" si="14">SUM(Q34:Q42)</f>
        <v>1698584.9502663722</v>
      </c>
      <c r="R43" s="46">
        <f t="shared" si="14"/>
        <v>1914729.8851877681</v>
      </c>
      <c r="S43" s="46">
        <f t="shared" si="14"/>
        <v>2112799.1181610166</v>
      </c>
      <c r="T43" s="46">
        <f t="shared" si="14"/>
        <v>2240623.4648097577</v>
      </c>
    </row>
    <row r="44" spans="3:20" outlineLevel="2" x14ac:dyDescent="0.2"/>
    <row r="45" spans="3:20" outlineLevel="2" x14ac:dyDescent="0.2">
      <c r="D45" s="4" t="s">
        <v>197</v>
      </c>
      <c r="E45" s="8" t="s">
        <v>198</v>
      </c>
      <c r="M45" s="44">
        <v>58.2</v>
      </c>
      <c r="N45" s="44">
        <v>64.3</v>
      </c>
      <c r="O45" s="44">
        <v>76.5</v>
      </c>
      <c r="P45" s="4">
        <f>Calc!P15</f>
        <v>83.155500000000004</v>
      </c>
      <c r="Q45" s="4">
        <f>Calc!Q15</f>
        <v>95.379358500000009</v>
      </c>
      <c r="R45" s="4">
        <f>Calc!R15</f>
        <v>107.30177831250001</v>
      </c>
      <c r="S45" s="4">
        <f>Calc!S15</f>
        <v>116.42242946906251</v>
      </c>
      <c r="T45" s="4">
        <f>Calc!T15</f>
        <v>122.24355094251564</v>
      </c>
    </row>
    <row r="46" spans="3:20" outlineLevel="2" x14ac:dyDescent="0.2">
      <c r="D46" s="4" t="s">
        <v>199</v>
      </c>
      <c r="E46" s="8" t="s">
        <v>200</v>
      </c>
      <c r="M46" s="4">
        <f>M43/M45/Menu!$F$17</f>
        <v>1487.8548253150057</v>
      </c>
      <c r="N46" s="4">
        <f>N43/N45/Menu!$F$17</f>
        <v>1516.1106791083464</v>
      </c>
      <c r="O46" s="4">
        <f>O43/O45/Menu!$F$17</f>
        <v>1466.6557734204791</v>
      </c>
      <c r="P46" s="4">
        <f>Calc!P16</f>
        <v>1494.522233115468</v>
      </c>
      <c r="Q46" s="4">
        <f>Calc!Q16</f>
        <v>1484.0605774836597</v>
      </c>
      <c r="R46" s="4">
        <f>Calc!R16</f>
        <v>1487.028698638627</v>
      </c>
      <c r="S46" s="4">
        <f>Calc!S16</f>
        <v>1512.3081865154836</v>
      </c>
      <c r="T46" s="4">
        <f>Calc!T16</f>
        <v>1527.4312683806384</v>
      </c>
    </row>
    <row r="47" spans="3:20" outlineLevel="2" x14ac:dyDescent="0.2"/>
    <row r="48" spans="3:20" outlineLevel="2" x14ac:dyDescent="0.2"/>
    <row r="49" spans="3:20" ht="15" outlineLevel="1" x14ac:dyDescent="0.25">
      <c r="C49" s="46" t="s">
        <v>185</v>
      </c>
    </row>
    <row r="50" spans="3:20" outlineLevel="2" x14ac:dyDescent="0.2">
      <c r="D50" s="35" t="s">
        <v>101</v>
      </c>
      <c r="E50" s="8" t="str">
        <f t="shared" ref="E50:E57" si="15">Currency</f>
        <v>₦`m</v>
      </c>
      <c r="N50" s="35">
        <v>246604</v>
      </c>
      <c r="O50" s="35">
        <v>310248</v>
      </c>
      <c r="P50" s="4">
        <f>Calc!P34</f>
        <v>329584.57591006998</v>
      </c>
      <c r="Q50" s="4">
        <f>Calc!Q34</f>
        <v>383880.19876020012</v>
      </c>
      <c r="R50" s="4">
        <f>Calc!R34</f>
        <v>467194.09198581538</v>
      </c>
      <c r="S50" s="4">
        <f>Calc!S34</f>
        <v>517635.78394944908</v>
      </c>
      <c r="T50" s="4">
        <f>Calc!T34</f>
        <v>548952.74887839076</v>
      </c>
    </row>
    <row r="51" spans="3:20" customFormat="1" outlineLevel="2" x14ac:dyDescent="0.2">
      <c r="D51" t="s">
        <v>102</v>
      </c>
      <c r="E51" s="8" t="str">
        <f t="shared" si="15"/>
        <v>₦`m</v>
      </c>
      <c r="N51" s="4">
        <v>12459</v>
      </c>
      <c r="O51" s="4">
        <v>12820</v>
      </c>
      <c r="P51">
        <f>Calc!P35</f>
        <v>14913.329226699998</v>
      </c>
      <c r="Q51" s="4">
        <f>Calc!Q35</f>
        <v>16985.849502663721</v>
      </c>
      <c r="R51" s="4">
        <f>Calc!R35</f>
        <v>28720.948277816518</v>
      </c>
      <c r="S51" s="4">
        <f>Calc!S35</f>
        <v>31691.986772415246</v>
      </c>
      <c r="T51" s="4">
        <f>Calc!T35</f>
        <v>33609.351972146367</v>
      </c>
    </row>
    <row r="52" spans="3:20" customFormat="1" outlineLevel="2" x14ac:dyDescent="0.2">
      <c r="D52" t="s">
        <v>120</v>
      </c>
      <c r="E52" s="8" t="str">
        <f t="shared" si="15"/>
        <v>₦`m</v>
      </c>
      <c r="N52" s="4">
        <v>12766</v>
      </c>
      <c r="O52" s="4">
        <v>20566</v>
      </c>
      <c r="P52">
        <f>Calc!P36</f>
        <v>19387.327994709995</v>
      </c>
      <c r="Q52" s="4">
        <f>Calc!Q36</f>
        <v>23780.18930372921</v>
      </c>
      <c r="R52" s="4">
        <f>Calc!R36</f>
        <v>30635.678163004286</v>
      </c>
      <c r="S52" s="4">
        <f>Calc!S36</f>
        <v>33804.78589057627</v>
      </c>
      <c r="T52" s="4">
        <f>Calc!T36</f>
        <v>35849.975436956134</v>
      </c>
    </row>
    <row r="53" spans="3:20" customFormat="1" outlineLevel="2" x14ac:dyDescent="0.2">
      <c r="D53" s="4" t="s">
        <v>103</v>
      </c>
      <c r="E53" s="8" t="str">
        <f t="shared" si="15"/>
        <v>₦`m</v>
      </c>
      <c r="N53" s="4">
        <v>105250</v>
      </c>
      <c r="O53" s="4">
        <v>112470</v>
      </c>
      <c r="P53">
        <f>Calc!P37</f>
        <v>129745.96427228997</v>
      </c>
      <c r="Q53" s="4">
        <f>Calc!Q37</f>
        <v>144379.72077264165</v>
      </c>
      <c r="R53" s="4">
        <f>Calc!R37</f>
        <v>172325.6896668991</v>
      </c>
      <c r="S53" s="4">
        <f>Calc!S37</f>
        <v>190151.92063449149</v>
      </c>
      <c r="T53" s="4">
        <f>Calc!T37</f>
        <v>201656.11183287823</v>
      </c>
    </row>
    <row r="54" spans="3:20" customFormat="1" outlineLevel="2" x14ac:dyDescent="0.2">
      <c r="D54" s="4" t="s">
        <v>104</v>
      </c>
      <c r="E54" s="8" t="str">
        <f t="shared" si="15"/>
        <v>₦`m</v>
      </c>
      <c r="N54" s="4">
        <v>4038</v>
      </c>
      <c r="O54" s="4">
        <v>2956</v>
      </c>
      <c r="P54">
        <f>Calc!P38</f>
        <v>4473.9987680099994</v>
      </c>
      <c r="Q54" s="4">
        <f>Calc!Q38</f>
        <v>5095.7548507991169</v>
      </c>
      <c r="R54" s="4">
        <f>Calc!R38</f>
        <v>19147.29885187768</v>
      </c>
      <c r="S54" s="4">
        <f>Calc!S38</f>
        <v>21127.991181610167</v>
      </c>
      <c r="T54" s="4">
        <f>Calc!T38</f>
        <v>22406.234648097583</v>
      </c>
    </row>
    <row r="55" spans="3:20" customFormat="1" outlineLevel="2" x14ac:dyDescent="0.2">
      <c r="D55" s="4" t="s">
        <v>105</v>
      </c>
      <c r="E55" s="8" t="str">
        <f t="shared" si="15"/>
        <v>₦`m</v>
      </c>
      <c r="N55" s="4">
        <v>5553</v>
      </c>
      <c r="O55" s="4">
        <v>6106</v>
      </c>
      <c r="P55">
        <f>Calc!P39</f>
        <v>7456.6646133499989</v>
      </c>
      <c r="Q55" s="4">
        <f>Calc!Q39</f>
        <v>8492.9247513318605</v>
      </c>
      <c r="R55" s="4">
        <f>Calc!R39</f>
        <v>15317.839081502143</v>
      </c>
      <c r="S55" s="4">
        <f>Calc!S39</f>
        <v>16902.392945288135</v>
      </c>
      <c r="T55" s="4">
        <f>Calc!T39</f>
        <v>17924.987718478067</v>
      </c>
    </row>
    <row r="56" spans="3:20" customFormat="1" outlineLevel="2" x14ac:dyDescent="0.2">
      <c r="D56" s="4" t="s">
        <v>106</v>
      </c>
      <c r="E56" s="8" t="str">
        <f t="shared" si="15"/>
        <v>₦`m</v>
      </c>
      <c r="N56" s="4">
        <v>56586</v>
      </c>
      <c r="O56" s="4">
        <v>68528</v>
      </c>
      <c r="P56">
        <f>Calc!P40</f>
        <v>74566.646133499991</v>
      </c>
      <c r="Q56" s="4">
        <f>Calc!Q40</f>
        <v>84929.247513318609</v>
      </c>
      <c r="R56" s="4">
        <f>Calc!R40</f>
        <v>105310.14368532723</v>
      </c>
      <c r="S56" s="4">
        <f>Calc!S40</f>
        <v>116203.95149885591</v>
      </c>
      <c r="T56" s="4">
        <f>Calc!T40</f>
        <v>123234.2905645367</v>
      </c>
    </row>
    <row r="57" spans="3:20" customFormat="1" ht="15" outlineLevel="2" x14ac:dyDescent="0.25">
      <c r="D57" s="46" t="s">
        <v>182</v>
      </c>
      <c r="E57" s="8" t="str">
        <f t="shared" si="15"/>
        <v>₦`m</v>
      </c>
      <c r="N57" s="46">
        <f>SUM(N50:N56)</f>
        <v>443256</v>
      </c>
      <c r="O57" s="46">
        <f>SUM(O50:O56)</f>
        <v>533694</v>
      </c>
      <c r="P57" s="46">
        <f>SUM(P50:P56)</f>
        <v>580128.50691862998</v>
      </c>
      <c r="Q57" s="46">
        <f t="shared" ref="Q57:T57" si="16">SUM(Q50:Q56)</f>
        <v>667543.88545468426</v>
      </c>
      <c r="R57" s="46">
        <f t="shared" si="16"/>
        <v>838651.68971224246</v>
      </c>
      <c r="S57" s="46">
        <f t="shared" si="16"/>
        <v>927518.81287268631</v>
      </c>
      <c r="T57" s="46">
        <f t="shared" si="16"/>
        <v>983633.70105148386</v>
      </c>
    </row>
    <row r="58" spans="3:20" outlineLevel="2" x14ac:dyDescent="0.2"/>
    <row r="59" spans="3:20" ht="15" outlineLevel="1" x14ac:dyDescent="0.25">
      <c r="C59" s="46" t="s">
        <v>184</v>
      </c>
    </row>
    <row r="60" spans="3:20" outlineLevel="2" x14ac:dyDescent="0.2">
      <c r="D60" s="4" t="s">
        <v>121</v>
      </c>
      <c r="E60" s="8" t="str">
        <f>Currency</f>
        <v>₦`m</v>
      </c>
      <c r="N60" s="4">
        <v>19848</v>
      </c>
      <c r="O60" s="4">
        <v>15144</v>
      </c>
      <c r="P60" s="4">
        <f>Calc!P46</f>
        <v>20878.660917379999</v>
      </c>
      <c r="Q60" s="4">
        <f>Calc!Q46</f>
        <v>22081.604353462837</v>
      </c>
      <c r="R60" s="4">
        <f>Calc!R46</f>
        <v>67015.545981571879</v>
      </c>
      <c r="S60" s="4">
        <f>Calc!S46</f>
        <v>73947.969135635591</v>
      </c>
      <c r="T60" s="4">
        <f>Calc!T46</f>
        <v>78421.821268341548</v>
      </c>
    </row>
    <row r="61" spans="3:20" outlineLevel="2" x14ac:dyDescent="0.2">
      <c r="D61" s="4" t="s">
        <v>107</v>
      </c>
      <c r="E61" s="8" t="str">
        <f>Currency</f>
        <v>₦`m</v>
      </c>
      <c r="N61" s="4">
        <v>30707</v>
      </c>
      <c r="O61" s="4">
        <v>45325</v>
      </c>
      <c r="P61" s="4">
        <f>Calc!P47</f>
        <v>44739.987680099992</v>
      </c>
      <c r="Q61" s="4">
        <f>Calc!Q47</f>
        <v>54354.718408523913</v>
      </c>
      <c r="R61" s="4">
        <f>Calc!R47</f>
        <v>95736.494259388404</v>
      </c>
      <c r="S61" s="4">
        <f>Calc!S47</f>
        <v>105639.95590805083</v>
      </c>
      <c r="T61" s="4">
        <f>Calc!T47</f>
        <v>112031.17324048791</v>
      </c>
    </row>
    <row r="62" spans="3:20" outlineLevel="2" x14ac:dyDescent="0.2">
      <c r="D62" s="4" t="s">
        <v>111</v>
      </c>
      <c r="E62" s="8" t="str">
        <f>Currency</f>
        <v>₦`m</v>
      </c>
      <c r="N62" s="4">
        <v>50989</v>
      </c>
      <c r="O62" s="4">
        <v>66591</v>
      </c>
      <c r="P62" s="4">
        <f>Calc!P48</f>
        <v>70092.647365489989</v>
      </c>
      <c r="Q62" s="4">
        <f>Calc!Q48</f>
        <v>81532.07761278587</v>
      </c>
      <c r="R62" s="4">
        <f>Calc!R48</f>
        <v>128286.90230758046</v>
      </c>
      <c r="S62" s="4">
        <f>Calc!S48</f>
        <v>145783.13915311015</v>
      </c>
      <c r="T62" s="4">
        <f>Calc!T48</f>
        <v>154603.01907187334</v>
      </c>
    </row>
    <row r="63" spans="3:20" ht="15" outlineLevel="2" x14ac:dyDescent="0.25">
      <c r="D63" s="46" t="s">
        <v>187</v>
      </c>
      <c r="E63" s="8" t="str">
        <f>Currency</f>
        <v>₦`m</v>
      </c>
      <c r="N63" s="46">
        <f>SUM(N60:N62)</f>
        <v>101544</v>
      </c>
      <c r="O63" s="46">
        <f>SUM(O60:O62)</f>
        <v>127060</v>
      </c>
      <c r="P63" s="46">
        <f>SUM(P60:P62)</f>
        <v>135711.29596296998</v>
      </c>
      <c r="Q63" s="46">
        <f t="shared" ref="Q63:T63" si="17">SUM(Q60:Q62)</f>
        <v>157968.40037477261</v>
      </c>
      <c r="R63" s="46">
        <f t="shared" si="17"/>
        <v>291038.94254854077</v>
      </c>
      <c r="S63" s="46">
        <f t="shared" si="17"/>
        <v>325371.06419679656</v>
      </c>
      <c r="T63" s="46">
        <f t="shared" si="17"/>
        <v>345056.01358070283</v>
      </c>
    </row>
    <row r="64" spans="3:20" outlineLevel="2" x14ac:dyDescent="0.2"/>
    <row r="65" spans="3:15" ht="15" outlineLevel="1" x14ac:dyDescent="0.25">
      <c r="C65" s="46" t="s">
        <v>189</v>
      </c>
    </row>
    <row r="66" spans="3:15" outlineLevel="2" x14ac:dyDescent="0.2">
      <c r="D66" s="4" t="s">
        <v>108</v>
      </c>
      <c r="E66" s="8" t="str">
        <f>Currency</f>
        <v>₦`m</v>
      </c>
      <c r="M66" s="4">
        <v>141162.47899999999</v>
      </c>
      <c r="N66" s="4">
        <v>147807</v>
      </c>
      <c r="O66" s="4">
        <v>150203</v>
      </c>
    </row>
    <row r="67" spans="3:15" outlineLevel="2" x14ac:dyDescent="0.2">
      <c r="D67" s="4" t="s">
        <v>109</v>
      </c>
      <c r="E67" s="8" t="str">
        <f>Currency</f>
        <v>₦`m</v>
      </c>
      <c r="M67" s="4">
        <v>26700.181</v>
      </c>
      <c r="N67" s="4">
        <v>29997</v>
      </c>
      <c r="O67" s="4">
        <v>36699</v>
      </c>
    </row>
    <row r="68" spans="3:15" outlineLevel="2" x14ac:dyDescent="0.2">
      <c r="D68" s="4" t="s">
        <v>110</v>
      </c>
      <c r="E68" s="8" t="str">
        <f>Currency</f>
        <v>₦`m</v>
      </c>
      <c r="M68" s="4">
        <v>0</v>
      </c>
      <c r="N68" s="4">
        <v>54002</v>
      </c>
      <c r="O68" s="4">
        <v>72125</v>
      </c>
    </row>
    <row r="69" spans="3:15" ht="15" outlineLevel="2" x14ac:dyDescent="0.25">
      <c r="D69" s="46" t="s">
        <v>190</v>
      </c>
      <c r="E69" s="8" t="str">
        <f>Currency</f>
        <v>₦`m</v>
      </c>
      <c r="N69" s="46">
        <f>SUM(N66:N68)</f>
        <v>231806</v>
      </c>
      <c r="O69" s="46">
        <f>SUM(O66:O68)</f>
        <v>259027</v>
      </c>
    </row>
    <row r="70" spans="3:15" outlineLevel="2" x14ac:dyDescent="0.2"/>
    <row r="71" spans="3:15" outlineLevel="1" x14ac:dyDescent="0.2"/>
    <row r="72" spans="3:15" outlineLevel="1" x14ac:dyDescent="0.2"/>
    <row r="73" spans="3:15" outlineLevel="1" x14ac:dyDescent="0.2"/>
    <row r="74" spans="3:15" outlineLevel="1" x14ac:dyDescent="0.2"/>
    <row r="75" spans="3:15" outlineLevel="1" x14ac:dyDescent="0.2"/>
  </sheetData>
  <pageMargins left="0.7" right="0.7" top="0.75" bottom="0.75" header="0.3" footer="0.3"/>
  <pageSetup paperSize="9" scale="76" fitToHeight="0" orientation="landscape" r:id="rId1"/>
  <headerFooter>
    <oddFooter>&amp;LPrinted on: &amp;D at &amp;T&amp;C&amp;A&amp;R&amp;P of &amp;N</oddFooter>
  </headerFooter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9" r:id="rId5" name="Drop Down 13">
              <controlPr defaultSize="0" autoLine="0" autoPict="0">
                <anchor moveWithCells="1">
                  <from>
                    <xdr:col>17</xdr:col>
                    <xdr:colOff>200025</xdr:colOff>
                    <xdr:row>2</xdr:row>
                    <xdr:rowOff>9525</xdr:rowOff>
                  </from>
                  <to>
                    <xdr:col>19</xdr:col>
                    <xdr:colOff>9525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7AF11-DB00-403D-B44D-E2C931565C20}">
  <sheetPr codeName="Sheet12">
    <pageSetUpPr fitToPage="1"/>
  </sheetPr>
  <dimension ref="B1:T30"/>
  <sheetViews>
    <sheetView showGridLines="0" workbookViewId="0">
      <pane ySplit="7" topLeftCell="A10" activePane="bottomLeft" state="frozen"/>
      <selection pane="bottomLeft" activeCell="L12" sqref="L12:L30"/>
    </sheetView>
  </sheetViews>
  <sheetFormatPr defaultColWidth="8.75" defaultRowHeight="14.25" x14ac:dyDescent="0.2"/>
  <cols>
    <col min="1" max="3" width="3.625" style="4" customWidth="1"/>
    <col min="4" max="4" width="21.625" style="4" customWidth="1"/>
    <col min="5" max="5" width="5.5" style="4" customWidth="1"/>
    <col min="6" max="6" width="9.25" style="4" customWidth="1"/>
    <col min="7" max="7" width="8.75" style="4"/>
    <col min="8" max="8" width="1.875" style="4" customWidth="1"/>
    <col min="9" max="9" width="11.75" style="4" bestFit="1" customWidth="1"/>
    <col min="10" max="10" width="14" style="4" bestFit="1" customWidth="1"/>
    <col min="11" max="11" width="2.75" style="4" customWidth="1"/>
    <col min="12" max="12" width="19.5" style="4" bestFit="1" customWidth="1"/>
    <col min="13" max="14" width="8.75" style="4"/>
    <col min="15" max="15" width="8.875" style="4" bestFit="1" customWidth="1"/>
    <col min="16" max="20" width="9.875" style="4" bestFit="1" customWidth="1"/>
    <col min="21" max="16384" width="8.75" style="4"/>
  </cols>
  <sheetData>
    <row r="1" spans="2:20" ht="5.45" customHeight="1" x14ac:dyDescent="0.2"/>
    <row r="2" spans="2:20" ht="20.25" x14ac:dyDescent="0.3">
      <c r="B2" s="20" t="str">
        <f>Menu!$F$7</f>
        <v>MTN Nigeria Communications Plc.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spans="2:20" ht="18" x14ac:dyDescent="0.25">
      <c r="C3" s="40" t="s">
        <v>3</v>
      </c>
    </row>
    <row r="4" spans="2:20" x14ac:dyDescent="0.2">
      <c r="D4" s="4" t="s">
        <v>88</v>
      </c>
    </row>
    <row r="5" spans="2:20" x14ac:dyDescent="0.2">
      <c r="D5" s="4" t="s">
        <v>89</v>
      </c>
      <c r="M5" s="42" t="s">
        <v>90</v>
      </c>
      <c r="N5" s="42" t="s">
        <v>90</v>
      </c>
      <c r="O5" s="42" t="s">
        <v>90</v>
      </c>
      <c r="P5" s="42" t="s">
        <v>91</v>
      </c>
      <c r="Q5" s="42" t="s">
        <v>91</v>
      </c>
      <c r="R5" s="42" t="s">
        <v>91</v>
      </c>
      <c r="S5" s="42" t="s">
        <v>91</v>
      </c>
      <c r="T5" s="42" t="s">
        <v>91</v>
      </c>
    </row>
    <row r="6" spans="2:20" x14ac:dyDescent="0.2">
      <c r="D6" s="4" t="s">
        <v>85</v>
      </c>
      <c r="M6" s="38">
        <f>N6-1</f>
        <v>2018</v>
      </c>
      <c r="N6" s="38">
        <f>O6-1</f>
        <v>2019</v>
      </c>
      <c r="O6" s="38">
        <f>Menu!$F$14</f>
        <v>2020</v>
      </c>
      <c r="P6" s="37">
        <f>O6+1</f>
        <v>2021</v>
      </c>
      <c r="Q6" s="37">
        <f t="shared" ref="Q6:T6" si="0">P6+1</f>
        <v>2022</v>
      </c>
      <c r="R6" s="37">
        <f t="shared" si="0"/>
        <v>2023</v>
      </c>
      <c r="S6" s="37">
        <f t="shared" si="0"/>
        <v>2024</v>
      </c>
      <c r="T6" s="37">
        <f t="shared" si="0"/>
        <v>2025</v>
      </c>
    </row>
    <row r="7" spans="2:20" ht="25.5" x14ac:dyDescent="0.2">
      <c r="D7" s="8" t="s">
        <v>81</v>
      </c>
      <c r="E7" s="8" t="s">
        <v>82</v>
      </c>
      <c r="F7" s="8" t="s">
        <v>83</v>
      </c>
      <c r="G7" s="8" t="s">
        <v>84</v>
      </c>
      <c r="I7" s="45" t="s">
        <v>118</v>
      </c>
      <c r="J7" s="45" t="s">
        <v>119</v>
      </c>
    </row>
    <row r="9" spans="2:20" ht="19.5" x14ac:dyDescent="0.3">
      <c r="B9" s="2" t="s">
        <v>33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ht="15.75" x14ac:dyDescent="0.25">
      <c r="C10" s="3" t="s">
        <v>39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2" spans="2:20" x14ac:dyDescent="0.2">
      <c r="L12" s="4" t="str">
        <f>'P&amp;L'!D13</f>
        <v>Revenue</v>
      </c>
      <c r="O12" s="109">
        <f>'P&amp;L'!O13</f>
        <v>1346390</v>
      </c>
      <c r="P12" s="109">
        <f>'P&amp;L'!P13</f>
        <v>1491332.9226699998</v>
      </c>
      <c r="Q12" s="109">
        <f>'P&amp;L'!Q13</f>
        <v>1698584.9502663722</v>
      </c>
      <c r="R12" s="109">
        <f>'P&amp;L'!R13</f>
        <v>1914729.8851877681</v>
      </c>
      <c r="S12" s="109">
        <f>'P&amp;L'!S13</f>
        <v>2112799.1181610166</v>
      </c>
      <c r="T12" s="109">
        <f>'P&amp;L'!T13</f>
        <v>2240623.4648097577</v>
      </c>
    </row>
    <row r="13" spans="2:20" x14ac:dyDescent="0.2">
      <c r="L13" s="4" t="s">
        <v>396</v>
      </c>
      <c r="O13" s="109">
        <f>'P&amp;L'!O14</f>
        <v>533694</v>
      </c>
      <c r="P13" s="109">
        <f>'P&amp;L'!P14</f>
        <v>580128.50691862998</v>
      </c>
      <c r="Q13" s="109">
        <f>'P&amp;L'!Q14</f>
        <v>667543.88545468426</v>
      </c>
      <c r="R13" s="109">
        <f>'P&amp;L'!R14</f>
        <v>838651.68971224246</v>
      </c>
      <c r="S13" s="109">
        <f>'P&amp;L'!S14</f>
        <v>927518.81287268631</v>
      </c>
      <c r="T13" s="109">
        <f>'P&amp;L'!T14</f>
        <v>983633.70105148386</v>
      </c>
    </row>
    <row r="14" spans="2:20" x14ac:dyDescent="0.2">
      <c r="L14" s="4" t="str">
        <f>'P&amp;L'!D15</f>
        <v>Gross profit</v>
      </c>
      <c r="O14" s="109">
        <f>'P&amp;L'!O15</f>
        <v>812696</v>
      </c>
      <c r="P14" s="109">
        <f>'P&amp;L'!P15</f>
        <v>911204.41575136979</v>
      </c>
      <c r="Q14" s="109">
        <f>'P&amp;L'!Q15</f>
        <v>1031041.0648116879</v>
      </c>
      <c r="R14" s="109">
        <f>'P&amp;L'!R15</f>
        <v>1076078.1954755257</v>
      </c>
      <c r="S14" s="109">
        <f>'P&amp;L'!S15</f>
        <v>1185280.3052883302</v>
      </c>
      <c r="T14" s="109">
        <f>'P&amp;L'!T15</f>
        <v>1256989.7637582738</v>
      </c>
    </row>
    <row r="15" spans="2:20" x14ac:dyDescent="0.2">
      <c r="L15" s="4" t="str">
        <f>'P&amp;L'!D16</f>
        <v>SG&amp;A</v>
      </c>
      <c r="O15" s="109">
        <f>'P&amp;L'!O16</f>
        <v>127060</v>
      </c>
      <c r="P15" s="109">
        <f>'P&amp;L'!P16</f>
        <v>135711.29596296998</v>
      </c>
      <c r="Q15" s="109">
        <f>'P&amp;L'!Q16</f>
        <v>157968.40037477261</v>
      </c>
      <c r="R15" s="109">
        <f>'P&amp;L'!R16</f>
        <v>291038.94254854077</v>
      </c>
      <c r="S15" s="109">
        <f>'P&amp;L'!S16</f>
        <v>325371.06419679656</v>
      </c>
      <c r="T15" s="109">
        <f>'P&amp;L'!T16</f>
        <v>345056.01358070283</v>
      </c>
    </row>
    <row r="16" spans="2:20" x14ac:dyDescent="0.2">
      <c r="L16" s="4" t="str">
        <f>'P&amp;L'!D17</f>
        <v>EBITDA</v>
      </c>
      <c r="O16" s="109">
        <f>'P&amp;L'!O17</f>
        <v>685636</v>
      </c>
      <c r="P16" s="109">
        <f>'P&amp;L'!P17</f>
        <v>775493.11978839978</v>
      </c>
      <c r="Q16" s="109">
        <f>'P&amp;L'!Q17</f>
        <v>873072.66443691531</v>
      </c>
      <c r="R16" s="109">
        <f>'P&amp;L'!R17</f>
        <v>785039.25292698492</v>
      </c>
      <c r="S16" s="109">
        <f>'P&amp;L'!S17</f>
        <v>859909.24109153356</v>
      </c>
      <c r="T16" s="109">
        <f>'P&amp;L'!T17</f>
        <v>911933.75017757097</v>
      </c>
    </row>
    <row r="17" spans="12:20" x14ac:dyDescent="0.2">
      <c r="L17" s="4" t="str">
        <f>'P&amp;L'!D21</f>
        <v>EBIT</v>
      </c>
      <c r="O17" s="109">
        <f>'P&amp;L'!O21</f>
        <v>426609</v>
      </c>
      <c r="P17" s="109">
        <f>'P&amp;L'!P21</f>
        <v>532598.34578839969</v>
      </c>
      <c r="Q17" s="109">
        <f>'P&amp;L'!Q21</f>
        <v>605951.89233292511</v>
      </c>
      <c r="R17" s="109">
        <f>'P&amp;L'!R21</f>
        <v>465725.74673642457</v>
      </c>
      <c r="S17" s="109">
        <f>'P&amp;L'!S21</f>
        <v>535447.66011272511</v>
      </c>
      <c r="T17" s="109">
        <f>'P&amp;L'!T21</f>
        <v>620366.82554344111</v>
      </c>
    </row>
    <row r="18" spans="12:20" x14ac:dyDescent="0.2">
      <c r="L18" s="4" t="s">
        <v>407</v>
      </c>
      <c r="O18" s="109">
        <f>'P&amp;L'!O27</f>
        <v>298874</v>
      </c>
      <c r="P18" s="109">
        <f>'P&amp;L'!P27</f>
        <v>429733.82908986678</v>
      </c>
      <c r="Q18" s="109">
        <f>'P&amp;L'!Q27</f>
        <v>506439.18940378394</v>
      </c>
      <c r="R18" s="109">
        <f>'P&amp;L'!R27</f>
        <v>357969.27526034031</v>
      </c>
      <c r="S18" s="109">
        <f>'P&amp;L'!S27</f>
        <v>445018.6140380943</v>
      </c>
      <c r="T18" s="109">
        <f>'P&amp;L'!T27</f>
        <v>551268.40805991751</v>
      </c>
    </row>
    <row r="19" spans="12:20" x14ac:dyDescent="0.2">
      <c r="L19" s="4" t="s">
        <v>376</v>
      </c>
      <c r="O19" s="109">
        <f>'P&amp;L'!O29</f>
        <v>205214</v>
      </c>
      <c r="P19" s="109">
        <f>'P&amp;L'!P29</f>
        <v>299094.74504654726</v>
      </c>
      <c r="Q19" s="109">
        <f>'P&amp;L'!Q29</f>
        <v>352481.67582503357</v>
      </c>
      <c r="R19" s="109">
        <f>'P&amp;L'!R29</f>
        <v>249146.61558119685</v>
      </c>
      <c r="S19" s="109">
        <f>'P&amp;L'!S29</f>
        <v>309732.95537051361</v>
      </c>
      <c r="T19" s="109">
        <f>'P&amp;L'!T29</f>
        <v>383682.81200970255</v>
      </c>
    </row>
    <row r="20" spans="12:20" x14ac:dyDescent="0.2">
      <c r="L20" s="4" t="s">
        <v>397</v>
      </c>
      <c r="O20" s="109">
        <f>BS!O26</f>
        <v>275198</v>
      </c>
      <c r="P20" s="109">
        <f>BS!P26</f>
        <v>278775.21446238662</v>
      </c>
      <c r="Q20" s="109">
        <f>BS!Q26</f>
        <v>231303.40844335716</v>
      </c>
      <c r="R20" s="109">
        <f>BS!R26</f>
        <v>306823.37377806439</v>
      </c>
      <c r="S20" s="109">
        <f>BS!S26</f>
        <v>398024.1744725866</v>
      </c>
      <c r="T20" s="109">
        <f>BS!T26</f>
        <v>576467.90413373779</v>
      </c>
    </row>
    <row r="21" spans="12:20" x14ac:dyDescent="0.2">
      <c r="L21" s="4" t="s">
        <v>398</v>
      </c>
      <c r="O21" s="109">
        <f>BS!O19</f>
        <v>1573602</v>
      </c>
      <c r="P21" s="109">
        <f>BS!P19</f>
        <v>1589236.1063799015</v>
      </c>
      <c r="Q21" s="109">
        <f>BS!Q19</f>
        <v>1843601.5296678038</v>
      </c>
      <c r="R21" s="109">
        <f>BS!R19</f>
        <v>1846451.2808692805</v>
      </c>
      <c r="S21" s="109">
        <f>BS!S19</f>
        <v>1731401.7216937994</v>
      </c>
      <c r="T21" s="109">
        <f>BS!T19</f>
        <v>1925451.8390297883</v>
      </c>
    </row>
    <row r="22" spans="12:20" x14ac:dyDescent="0.2">
      <c r="L22" s="4" t="s">
        <v>399</v>
      </c>
      <c r="O22" s="109">
        <f>BS!O27</f>
        <v>389941</v>
      </c>
      <c r="P22" s="109">
        <f>BS!P27</f>
        <v>410619.47554755362</v>
      </c>
      <c r="Q22" s="109">
        <f>BS!Q27</f>
        <v>374958.35072800569</v>
      </c>
      <c r="R22" s="109">
        <f>BS!R27</f>
        <v>457209.30414807849</v>
      </c>
      <c r="S22" s="109">
        <f>BS!S27</f>
        <v>569852.33110510837</v>
      </c>
      <c r="T22" s="109">
        <f>BS!T27</f>
        <v>765757.44640062202</v>
      </c>
    </row>
    <row r="23" spans="12:20" x14ac:dyDescent="0.2">
      <c r="L23" s="4" t="s">
        <v>400</v>
      </c>
      <c r="O23" s="109">
        <f>BS!O28</f>
        <v>1963543</v>
      </c>
      <c r="P23" s="109">
        <f>BS!P28</f>
        <v>1999855.581927455</v>
      </c>
      <c r="Q23" s="109">
        <f>BS!Q28</f>
        <v>2218559.8803958097</v>
      </c>
      <c r="R23" s="109">
        <f>BS!R28</f>
        <v>2303660.5850173589</v>
      </c>
      <c r="S23" s="109">
        <f>BS!S28</f>
        <v>2301254.0527989077</v>
      </c>
      <c r="T23" s="109">
        <f>BS!T28</f>
        <v>2691209.2854304104</v>
      </c>
    </row>
    <row r="24" spans="12:20" x14ac:dyDescent="0.2">
      <c r="L24" s="4" t="s">
        <v>141</v>
      </c>
      <c r="O24" s="109">
        <f>BS!O35</f>
        <v>178386</v>
      </c>
      <c r="P24" s="109">
        <f>BS!P35</f>
        <v>238204.94900930944</v>
      </c>
      <c r="Q24" s="109">
        <f>BS!Q35</f>
        <v>308701.2841743161</v>
      </c>
      <c r="R24" s="109">
        <f>BS!R35</f>
        <v>358530.60729055549</v>
      </c>
      <c r="S24" s="109">
        <f>BS!S35</f>
        <v>420477.19836465816</v>
      </c>
      <c r="T24" s="109">
        <f>BS!T35</f>
        <v>497213.76076659869</v>
      </c>
    </row>
    <row r="25" spans="12:20" x14ac:dyDescent="0.2">
      <c r="L25" s="4" t="s">
        <v>401</v>
      </c>
      <c r="O25" s="109">
        <f>BS!O43</f>
        <v>1286604</v>
      </c>
      <c r="P25" s="109">
        <f>BS!P43</f>
        <v>1190833.4128006191</v>
      </c>
      <c r="Q25" s="109">
        <f>BS!Q43</f>
        <v>1278044.4987807327</v>
      </c>
      <c r="R25" s="109">
        <f>BS!R43</f>
        <v>1320567.345154678</v>
      </c>
      <c r="S25" s="109">
        <f>BS!S43</f>
        <v>1189414.5314446096</v>
      </c>
      <c r="T25" s="109">
        <f>BS!T43</f>
        <v>1438414.636909598</v>
      </c>
    </row>
    <row r="26" spans="12:20" x14ac:dyDescent="0.2">
      <c r="L26" s="4" t="s">
        <v>402</v>
      </c>
      <c r="O26" s="109">
        <f>BS!O54</f>
        <v>498553</v>
      </c>
      <c r="P26" s="109">
        <f>BS!P54</f>
        <v>570817.22011752671</v>
      </c>
      <c r="Q26" s="109">
        <f>BS!Q54</f>
        <v>631814.09744076093</v>
      </c>
      <c r="R26" s="109">
        <f>BS!R54</f>
        <v>624562.63257212541</v>
      </c>
      <c r="S26" s="109">
        <f>BS!S54</f>
        <v>691362.32298963983</v>
      </c>
      <c r="T26" s="109">
        <f>BS!T54</f>
        <v>755580.88775421376</v>
      </c>
    </row>
    <row r="27" spans="12:20" x14ac:dyDescent="0.2">
      <c r="L27" s="4" t="str">
        <f>BS!D55</f>
        <v>Total liabilities</v>
      </c>
      <c r="O27" s="109">
        <f>BS!O55</f>
        <v>1785157</v>
      </c>
      <c r="P27" s="109">
        <f>BS!P55</f>
        <v>1761650.632918146</v>
      </c>
      <c r="Q27" s="109">
        <f>BS!Q55</f>
        <v>1909858.5962214936</v>
      </c>
      <c r="R27" s="109">
        <f>BS!R55</f>
        <v>1945129.9777268034</v>
      </c>
      <c r="S27" s="109">
        <f>BS!S55</f>
        <v>1880776.8544342495</v>
      </c>
      <c r="T27" s="109">
        <f>BS!T55</f>
        <v>2193995.5246638115</v>
      </c>
    </row>
    <row r="28" spans="12:20" x14ac:dyDescent="0.2">
      <c r="L28" s="4" t="str">
        <f>CF!D24</f>
        <v>CFFO</v>
      </c>
      <c r="O28" s="109">
        <f>CF!O24</f>
        <v>0</v>
      </c>
      <c r="P28" s="109">
        <f>CF!P24</f>
        <v>610746.21286698314</v>
      </c>
      <c r="Q28" s="109">
        <f>CF!Q24</f>
        <v>679196.83417595213</v>
      </c>
      <c r="R28" s="109">
        <f>CF!R24</f>
        <v>535421.96355936886</v>
      </c>
      <c r="S28" s="109">
        <f>CF!S24</f>
        <v>695844.96586309758</v>
      </c>
      <c r="T28" s="109">
        <f>CF!T24</f>
        <v>740888.64235704066</v>
      </c>
    </row>
    <row r="29" spans="12:20" x14ac:dyDescent="0.2">
      <c r="L29" s="4" t="str">
        <f>CF!D33</f>
        <v>CFFI</v>
      </c>
      <c r="O29" s="109">
        <f>CF!O33</f>
        <v>0</v>
      </c>
      <c r="P29" s="109">
        <f>-CF!P33</f>
        <v>265655.48037990154</v>
      </c>
      <c r="Q29" s="109">
        <f>-CF!Q33</f>
        <v>522201.63828436978</v>
      </c>
      <c r="R29" s="109">
        <f>-CF!R33</f>
        <v>289538.55534389522</v>
      </c>
      <c r="S29" s="109">
        <f>-CF!S33</f>
        <v>216964.01833679801</v>
      </c>
      <c r="T29" s="109">
        <f>-CF!T33</f>
        <v>494737.12203957106</v>
      </c>
    </row>
    <row r="30" spans="12:20" x14ac:dyDescent="0.2">
      <c r="L30" s="4" t="str">
        <f>CF!D44</f>
        <v>CFFF</v>
      </c>
      <c r="O30" s="109">
        <f>CF!O44</f>
        <v>0</v>
      </c>
      <c r="P30" s="109">
        <f>-CF!P44</f>
        <v>341513.51802469499</v>
      </c>
      <c r="Q30" s="109">
        <f>-CF!Q44</f>
        <v>204467.00191061181</v>
      </c>
      <c r="R30" s="109">
        <f>-CF!R44</f>
        <v>170363.44288076641</v>
      </c>
      <c r="S30" s="109">
        <f>-CF!S44</f>
        <v>387680.14683177735</v>
      </c>
      <c r="T30" s="109">
        <f>-CF!T44</f>
        <v>67707.790656318495</v>
      </c>
    </row>
  </sheetData>
  <pageMargins left="0.7" right="0.7" top="0.75" bottom="0.75" header="0.3" footer="0.3"/>
  <pageSetup paperSize="9" scale="75" fitToHeight="0" orientation="landscape" r:id="rId1"/>
  <headerFooter>
    <oddFooter>&amp;LPrinted on: &amp;D at &amp;T&amp;C&amp;A&amp;R&amp;P of &amp;N</oddFooter>
  </headerFooter>
  <picture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FDE33-A799-4DD7-962C-8052A7A29B5D}">
  <sheetPr codeName="Sheet13">
    <tabColor rgb="FF00B0F0"/>
    <outlinePr summaryBelow="0" summaryRight="0"/>
    <pageSetUpPr fitToPage="1"/>
  </sheetPr>
  <dimension ref="B1:T60"/>
  <sheetViews>
    <sheetView showGridLines="0" zoomScaleNormal="100" workbookViewId="0">
      <pane ySplit="10" topLeftCell="A32" activePane="bottomLeft" state="frozen"/>
      <selection activeCell="D6" sqref="D6"/>
      <selection pane="bottomLeft" activeCell="Q38" sqref="Q38"/>
    </sheetView>
  </sheetViews>
  <sheetFormatPr defaultColWidth="8.75" defaultRowHeight="14.25" outlineLevelRow="2" x14ac:dyDescent="0.2"/>
  <cols>
    <col min="1" max="3" width="3.625" style="4" customWidth="1"/>
    <col min="4" max="4" width="26.25" style="4" bestFit="1" customWidth="1"/>
    <col min="5" max="5" width="4.75" style="4" bestFit="1" customWidth="1"/>
    <col min="6" max="6" width="5.125" style="4" bestFit="1" customWidth="1"/>
    <col min="7" max="7" width="6.625" style="4" bestFit="1" customWidth="1"/>
    <col min="8" max="8" width="1.875" style="4" customWidth="1"/>
    <col min="9" max="9" width="9.25" style="4" bestFit="1" customWidth="1"/>
    <col min="10" max="10" width="11.375" style="4" bestFit="1" customWidth="1"/>
    <col min="11" max="12" width="2.75" style="4" customWidth="1"/>
    <col min="13" max="13" width="7.375" style="4" bestFit="1" customWidth="1"/>
    <col min="14" max="15" width="9.375" style="4" bestFit="1" customWidth="1"/>
    <col min="16" max="17" width="8.875" style="4" bestFit="1" customWidth="1"/>
    <col min="18" max="20" width="10.125" style="4" bestFit="1" customWidth="1"/>
    <col min="21" max="16384" width="8.75" style="4"/>
  </cols>
  <sheetData>
    <row r="1" spans="2:20" ht="5.45" customHeight="1" x14ac:dyDescent="0.2"/>
    <row r="2" spans="2:20" ht="20.25" x14ac:dyDescent="0.3">
      <c r="B2" s="20" t="str">
        <f>Menu!$F$7</f>
        <v>MTN Nigeria Communications Plc.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spans="2:20" ht="18" x14ac:dyDescent="0.25">
      <c r="C3" s="40" t="s">
        <v>65</v>
      </c>
    </row>
    <row r="4" spans="2:20" ht="15" x14ac:dyDescent="0.25">
      <c r="D4" s="96" t="str">
        <f>Scenario</f>
        <v>Live Scenario: Base case</v>
      </c>
    </row>
    <row r="5" spans="2:20" ht="15.75" x14ac:dyDescent="0.25">
      <c r="D5" s="107" t="str">
        <f>Balanced</f>
        <v>Model Balance Check: OK</v>
      </c>
      <c r="M5" s="50" t="s">
        <v>90</v>
      </c>
      <c r="N5" s="42" t="s">
        <v>90</v>
      </c>
      <c r="O5" s="42" t="s">
        <v>90</v>
      </c>
      <c r="P5" s="42" t="s">
        <v>91</v>
      </c>
      <c r="Q5" s="42" t="s">
        <v>91</v>
      </c>
      <c r="R5" s="42" t="s">
        <v>91</v>
      </c>
      <c r="S5" s="42" t="s">
        <v>91</v>
      </c>
      <c r="T5" s="42" t="s">
        <v>91</v>
      </c>
    </row>
    <row r="6" spans="2:20" x14ac:dyDescent="0.2">
      <c r="D6" s="4" t="s">
        <v>85</v>
      </c>
      <c r="M6" s="51">
        <f>N6-1</f>
        <v>2018</v>
      </c>
      <c r="N6" s="38">
        <f>O6-1</f>
        <v>2019</v>
      </c>
      <c r="O6" s="38">
        <f>Menu!$F$14</f>
        <v>2020</v>
      </c>
      <c r="P6" s="37">
        <f>O6+1</f>
        <v>2021</v>
      </c>
      <c r="Q6" s="37">
        <f t="shared" ref="Q6:T6" si="0">P6+1</f>
        <v>2022</v>
      </c>
      <c r="R6" s="37">
        <f t="shared" si="0"/>
        <v>2023</v>
      </c>
      <c r="S6" s="37">
        <f t="shared" si="0"/>
        <v>2024</v>
      </c>
      <c r="T6" s="37">
        <f t="shared" si="0"/>
        <v>2025</v>
      </c>
    </row>
    <row r="7" spans="2:20" ht="25.5" x14ac:dyDescent="0.2">
      <c r="D7" s="8" t="s">
        <v>81</v>
      </c>
      <c r="E7" s="8" t="s">
        <v>82</v>
      </c>
      <c r="F7" s="8" t="s">
        <v>83</v>
      </c>
      <c r="G7" s="8" t="s">
        <v>84</v>
      </c>
      <c r="I7" s="45" t="s">
        <v>118</v>
      </c>
      <c r="J7" s="45" t="s">
        <v>119</v>
      </c>
    </row>
    <row r="9" spans="2:20" x14ac:dyDescent="0.2">
      <c r="D9" s="4" t="s">
        <v>196</v>
      </c>
      <c r="N9" s="4">
        <v>145857</v>
      </c>
      <c r="O9" s="4">
        <v>178386</v>
      </c>
    </row>
    <row r="10" spans="2:20" x14ac:dyDescent="0.2">
      <c r="D10" s="4" t="s">
        <v>181</v>
      </c>
      <c r="N10" s="41" t="str">
        <f>IF(N28-N55=N9,"OK",N28-N56)</f>
        <v>OK</v>
      </c>
      <c r="O10" s="41" t="str">
        <f>IF(O28-O55=O9,"OK",O28-O56)</f>
        <v>OK</v>
      </c>
      <c r="P10" s="41" t="str">
        <f>IF(P28=P56,"OK",P28-P56)</f>
        <v>OK</v>
      </c>
      <c r="Q10" s="41" t="str">
        <f t="shared" ref="Q10:T10" si="1">IF(Q28=Q56,"OK",Q28-Q56)</f>
        <v>OK</v>
      </c>
      <c r="R10" s="41" t="str">
        <f t="shared" si="1"/>
        <v>OK</v>
      </c>
      <c r="S10" s="41" t="str">
        <f t="shared" si="1"/>
        <v>OK</v>
      </c>
      <c r="T10" s="41" t="str">
        <f t="shared" si="1"/>
        <v>OK</v>
      </c>
    </row>
    <row r="12" spans="2:20" ht="15" x14ac:dyDescent="0.25">
      <c r="C12" s="46" t="s">
        <v>124</v>
      </c>
    </row>
    <row r="13" spans="2:20" ht="15" outlineLevel="1" x14ac:dyDescent="0.25">
      <c r="D13" s="46" t="s">
        <v>125</v>
      </c>
    </row>
    <row r="14" spans="2:20" outlineLevel="2" x14ac:dyDescent="0.2">
      <c r="D14" s="49" t="s">
        <v>126</v>
      </c>
      <c r="E14" s="8" t="str">
        <f t="shared" ref="E14:E19" si="2">Currency</f>
        <v>₦`m</v>
      </c>
      <c r="M14" s="58">
        <v>607024</v>
      </c>
      <c r="N14" s="58">
        <v>625095</v>
      </c>
      <c r="O14" s="58">
        <v>686157</v>
      </c>
      <c r="P14" s="4">
        <f>Calc!P80</f>
        <v>670310.00600000005</v>
      </c>
      <c r="Q14" s="4">
        <f>Calc!Q80</f>
        <v>942404.85388500011</v>
      </c>
      <c r="R14" s="4">
        <f>Calc!R80</f>
        <v>913382.11821744672</v>
      </c>
      <c r="S14" s="4">
        <f>Calc!S80</f>
        <v>774923.52717710705</v>
      </c>
      <c r="T14" s="4">
        <f>Calc!T80</f>
        <v>918612.02329303429</v>
      </c>
    </row>
    <row r="15" spans="2:20" outlineLevel="2" x14ac:dyDescent="0.2">
      <c r="D15" s="49" t="s">
        <v>127</v>
      </c>
      <c r="E15" s="8" t="str">
        <f t="shared" si="2"/>
        <v>₦`m</v>
      </c>
      <c r="M15" s="58">
        <v>0</v>
      </c>
      <c r="N15" s="58">
        <v>476357</v>
      </c>
      <c r="O15" s="58">
        <v>595745</v>
      </c>
      <c r="P15" s="4">
        <f>Calc!P86</f>
        <v>622593.38</v>
      </c>
      <c r="Q15" s="4">
        <f>Calc!Q86</f>
        <v>601942.69780999993</v>
      </c>
      <c r="R15" s="4">
        <f>Calc!R86</f>
        <v>632207.23411682202</v>
      </c>
      <c r="S15" s="4">
        <f>Calc!S86</f>
        <v>643716.21778982878</v>
      </c>
      <c r="T15" s="4">
        <f>Calc!T86</f>
        <v>678815.81233416055</v>
      </c>
    </row>
    <row r="16" spans="2:20" outlineLevel="2" x14ac:dyDescent="0.2">
      <c r="D16" s="49" t="s">
        <v>128</v>
      </c>
      <c r="E16" s="8" t="str">
        <f t="shared" si="2"/>
        <v>₦`m</v>
      </c>
      <c r="M16" s="58">
        <v>119368</v>
      </c>
      <c r="N16" s="58">
        <v>120946</v>
      </c>
      <c r="O16" s="58">
        <v>111080</v>
      </c>
      <c r="P16" s="4">
        <f>Calc!P92</f>
        <v>117009.84</v>
      </c>
      <c r="Q16" s="4">
        <f>Calc!Q92</f>
        <v>117276.90774</v>
      </c>
      <c r="R16" s="4">
        <f>Calc!R92</f>
        <v>125778.93486239998</v>
      </c>
      <c r="S16" s="4">
        <f>Calc!S92</f>
        <v>135047.15881343649</v>
      </c>
      <c r="T16" s="4">
        <f>Calc!T92</f>
        <v>150516.34876197643</v>
      </c>
    </row>
    <row r="17" spans="3:20" outlineLevel="2" x14ac:dyDescent="0.2">
      <c r="D17" s="49" t="s">
        <v>130</v>
      </c>
      <c r="E17" s="8" t="str">
        <f t="shared" si="2"/>
        <v>₦`m</v>
      </c>
      <c r="M17" s="58"/>
      <c r="N17" s="58">
        <v>4852</v>
      </c>
      <c r="O17" s="58">
        <v>7990</v>
      </c>
      <c r="P17" s="4">
        <f>Calc!P98</f>
        <v>6675.6173799015214</v>
      </c>
      <c r="Q17" s="4">
        <f>Calc!Q98</f>
        <v>7603.334602803815</v>
      </c>
      <c r="R17" s="4">
        <f>Calc!R98</f>
        <v>9427.9448241116588</v>
      </c>
      <c r="S17" s="4">
        <f>Calc!S98</f>
        <v>10403.21857644189</v>
      </c>
      <c r="T17" s="4">
        <f>Calc!T98</f>
        <v>11032.613300316625</v>
      </c>
    </row>
    <row r="18" spans="3:20" outlineLevel="2" x14ac:dyDescent="0.2">
      <c r="D18" s="49" t="s">
        <v>207</v>
      </c>
      <c r="E18" s="8" t="str">
        <f t="shared" si="2"/>
        <v>₦`m</v>
      </c>
      <c r="M18" s="58">
        <v>65468</v>
      </c>
      <c r="N18" s="58">
        <f>0+54827</f>
        <v>54827</v>
      </c>
      <c r="O18" s="58">
        <f>25847+146783</f>
        <v>172630</v>
      </c>
      <c r="P18" s="4">
        <f>Calc!P102</f>
        <v>172647.26300000001</v>
      </c>
      <c r="Q18" s="4">
        <f>Calc!Q102</f>
        <v>174373.73563000001</v>
      </c>
      <c r="R18" s="4">
        <f>Calc!R102</f>
        <v>165655.04884850001</v>
      </c>
      <c r="S18" s="4">
        <f>Calc!S102</f>
        <v>167311.599336985</v>
      </c>
      <c r="T18" s="4">
        <f>Calc!T102</f>
        <v>166475.04134030009</v>
      </c>
    </row>
    <row r="19" spans="3:20" ht="15" outlineLevel="2" x14ac:dyDescent="0.25">
      <c r="D19" s="46" t="s">
        <v>161</v>
      </c>
      <c r="E19" s="8" t="str">
        <f t="shared" si="2"/>
        <v>₦`m</v>
      </c>
      <c r="N19" s="48">
        <f>SUM(N14:N18)</f>
        <v>1282077</v>
      </c>
      <c r="O19" s="48">
        <f>SUM(O14:O18)</f>
        <v>1573602</v>
      </c>
      <c r="P19" s="48">
        <f>SUM(P14:P18)</f>
        <v>1589236.1063799015</v>
      </c>
      <c r="Q19" s="48">
        <f t="shared" ref="Q19:T19" si="3">SUM(Q14:Q18)</f>
        <v>1843601.5296678038</v>
      </c>
      <c r="R19" s="48">
        <f t="shared" si="3"/>
        <v>1846451.2808692805</v>
      </c>
      <c r="S19" s="48">
        <f t="shared" si="3"/>
        <v>1731401.7216937994</v>
      </c>
      <c r="T19" s="48">
        <f t="shared" si="3"/>
        <v>1925451.8390297883</v>
      </c>
    </row>
    <row r="20" spans="3:20" ht="15" outlineLevel="1" x14ac:dyDescent="0.25">
      <c r="D20" s="46" t="s">
        <v>133</v>
      </c>
    </row>
    <row r="21" spans="3:20" outlineLevel="2" x14ac:dyDescent="0.2">
      <c r="D21" s="49" t="s">
        <v>134</v>
      </c>
      <c r="E21" s="8" t="str">
        <f t="shared" ref="E21:E28" si="4">Currency</f>
        <v>₦`m</v>
      </c>
      <c r="M21" s="58"/>
      <c r="N21" s="58">
        <v>909</v>
      </c>
      <c r="O21" s="58">
        <v>2158</v>
      </c>
      <c r="P21" s="4">
        <f>Calc!P106</f>
        <v>2320.5140276745201</v>
      </c>
      <c r="Q21" s="4">
        <f>Calc!Q106</f>
        <v>2670.1755418187372</v>
      </c>
      <c r="R21" s="4">
        <f>Calc!R106</f>
        <v>3354.60675884897</v>
      </c>
      <c r="S21" s="4">
        <f>Calc!S106</f>
        <v>3710.0752514907454</v>
      </c>
      <c r="T21" s="4">
        <f>Calc!T106</f>
        <v>3934.5348042059354</v>
      </c>
    </row>
    <row r="22" spans="3:20" outlineLevel="2" x14ac:dyDescent="0.2">
      <c r="D22" s="49" t="s">
        <v>206</v>
      </c>
      <c r="E22" s="8" t="str">
        <f t="shared" si="4"/>
        <v>₦`m</v>
      </c>
      <c r="M22" s="58"/>
      <c r="N22" s="58">
        <f>52824-17301-3987</f>
        <v>31536</v>
      </c>
      <c r="O22" s="58">
        <f>50766-18524-3273</f>
        <v>28969</v>
      </c>
      <c r="P22" s="4">
        <f>Calc!P107</f>
        <v>37283.323066749996</v>
      </c>
      <c r="Q22" s="4">
        <f>Calc!Q107</f>
        <v>42464.623756659304</v>
      </c>
      <c r="R22" s="4">
        <f>Calc!R107</f>
        <v>47868.247129694209</v>
      </c>
      <c r="S22" s="4">
        <f>Calc!S107</f>
        <v>52819.977954025417</v>
      </c>
      <c r="T22" s="4">
        <f>Calc!T107</f>
        <v>56015.586620243943</v>
      </c>
    </row>
    <row r="23" spans="3:20" outlineLevel="2" x14ac:dyDescent="0.2">
      <c r="D23" s="49" t="s">
        <v>205</v>
      </c>
      <c r="E23" s="8" t="str">
        <f t="shared" si="4"/>
        <v>₦`m</v>
      </c>
      <c r="M23" s="58"/>
      <c r="N23" s="58">
        <f>3987</f>
        <v>3987</v>
      </c>
      <c r="O23" s="58">
        <f>3273</f>
        <v>3273</v>
      </c>
      <c r="P23" s="4">
        <f>Calc!P108</f>
        <v>3273</v>
      </c>
      <c r="Q23" s="4">
        <f>Calc!Q108</f>
        <v>3273</v>
      </c>
      <c r="R23" s="4">
        <f>Calc!R108</f>
        <v>3273</v>
      </c>
      <c r="S23" s="4">
        <f>Calc!S108</f>
        <v>3273</v>
      </c>
      <c r="T23" s="4">
        <f>Calc!T108</f>
        <v>3273</v>
      </c>
    </row>
    <row r="24" spans="3:20" outlineLevel="2" x14ac:dyDescent="0.2">
      <c r="D24" s="49" t="s">
        <v>131</v>
      </c>
      <c r="E24" s="8" t="str">
        <f t="shared" si="4"/>
        <v>₦`m</v>
      </c>
      <c r="M24" s="58"/>
      <c r="N24" s="58">
        <f>17301+12145</f>
        <v>29446</v>
      </c>
      <c r="O24" s="58">
        <f>18524+13906</f>
        <v>32430</v>
      </c>
      <c r="P24" s="4">
        <f>Calc!P109</f>
        <v>33927.823990742494</v>
      </c>
      <c r="Q24" s="4">
        <f>Calc!Q109</f>
        <v>39492.100093693152</v>
      </c>
      <c r="R24" s="4">
        <f>Calc!R109</f>
        <v>72759.735637135193</v>
      </c>
      <c r="S24" s="4">
        <f>Calc!S109</f>
        <v>81342.766049199141</v>
      </c>
      <c r="T24" s="4">
        <f>Calc!T109</f>
        <v>86264.003395175707</v>
      </c>
    </row>
    <row r="25" spans="3:20" outlineLevel="2" x14ac:dyDescent="0.2">
      <c r="D25" s="49" t="s">
        <v>137</v>
      </c>
      <c r="E25" s="8" t="str">
        <f t="shared" si="4"/>
        <v>₦`m</v>
      </c>
      <c r="M25" s="58"/>
      <c r="N25" s="58">
        <v>38050</v>
      </c>
      <c r="O25" s="58">
        <v>47913</v>
      </c>
      <c r="P25" s="4">
        <f>Calc!P166</f>
        <v>55039.600000000006</v>
      </c>
      <c r="Q25" s="4">
        <f>Calc!Q166</f>
        <v>55755.04289247733</v>
      </c>
      <c r="R25" s="4">
        <f>Calc!R166</f>
        <v>23130.340844335718</v>
      </c>
      <c r="S25" s="4">
        <f>Calc!S166</f>
        <v>30682.337377806442</v>
      </c>
      <c r="T25" s="4">
        <f>Calc!T166</f>
        <v>39802.41744725866</v>
      </c>
    </row>
    <row r="26" spans="3:20" outlineLevel="2" x14ac:dyDescent="0.2">
      <c r="D26" s="49" t="s">
        <v>138</v>
      </c>
      <c r="E26" s="8" t="str">
        <f t="shared" si="4"/>
        <v>₦`m</v>
      </c>
      <c r="M26" s="58">
        <v>53012</v>
      </c>
      <c r="N26" s="58">
        <v>116278</v>
      </c>
      <c r="O26" s="58">
        <v>275198</v>
      </c>
      <c r="P26" s="4">
        <f>CF!P49</f>
        <v>278775.21446238662</v>
      </c>
      <c r="Q26" s="4">
        <f>CF!Q49</f>
        <v>231303.40844335716</v>
      </c>
      <c r="R26" s="4">
        <f>CF!R49</f>
        <v>306823.37377806439</v>
      </c>
      <c r="S26" s="4">
        <f>CF!S49</f>
        <v>398024.1744725866</v>
      </c>
      <c r="T26" s="4">
        <f>CF!T49</f>
        <v>576467.90413373779</v>
      </c>
    </row>
    <row r="27" spans="3:20" ht="15" outlineLevel="1" x14ac:dyDescent="0.25">
      <c r="D27" s="46" t="s">
        <v>162</v>
      </c>
      <c r="E27" s="8" t="str">
        <f t="shared" si="4"/>
        <v>₦`m</v>
      </c>
      <c r="N27" s="48">
        <f>SUM(N21:N26)</f>
        <v>220206</v>
      </c>
      <c r="O27" s="48">
        <f>SUM(O21:O26)</f>
        <v>389941</v>
      </c>
      <c r="P27" s="48">
        <f>SUM(P21:P26)</f>
        <v>410619.47554755362</v>
      </c>
      <c r="Q27" s="48">
        <f t="shared" ref="Q27:T27" si="5">SUM(Q21:Q26)</f>
        <v>374958.35072800569</v>
      </c>
      <c r="R27" s="48">
        <f t="shared" si="5"/>
        <v>457209.30414807849</v>
      </c>
      <c r="S27" s="48">
        <f t="shared" si="5"/>
        <v>569852.33110510837</v>
      </c>
      <c r="T27" s="48">
        <f t="shared" si="5"/>
        <v>765757.44640062202</v>
      </c>
    </row>
    <row r="28" spans="3:20" ht="15" outlineLevel="1" x14ac:dyDescent="0.25">
      <c r="D28" s="46" t="s">
        <v>139</v>
      </c>
      <c r="E28" s="8" t="str">
        <f t="shared" si="4"/>
        <v>₦`m</v>
      </c>
      <c r="N28" s="48">
        <f>N19+N27</f>
        <v>1502283</v>
      </c>
      <c r="O28" s="48">
        <f>O19+O27</f>
        <v>1963543</v>
      </c>
      <c r="P28" s="48">
        <f>P19+P27</f>
        <v>1999855.581927455</v>
      </c>
      <c r="Q28" s="48">
        <f t="shared" ref="Q28:T28" si="6">Q19+Q27</f>
        <v>2218559.8803958097</v>
      </c>
      <c r="R28" s="48">
        <f t="shared" si="6"/>
        <v>2303660.5850173589</v>
      </c>
      <c r="S28" s="48">
        <f t="shared" si="6"/>
        <v>2301254.0527989077</v>
      </c>
      <c r="T28" s="48">
        <f t="shared" si="6"/>
        <v>2691209.2854304104</v>
      </c>
    </row>
    <row r="29" spans="3:20" ht="15" x14ac:dyDescent="0.25">
      <c r="C29" s="46" t="s">
        <v>140</v>
      </c>
    </row>
    <row r="30" spans="3:20" ht="15" x14ac:dyDescent="0.25">
      <c r="C30" s="46" t="s">
        <v>141</v>
      </c>
    </row>
    <row r="31" spans="3:20" outlineLevel="2" x14ac:dyDescent="0.2">
      <c r="D31" s="49" t="s">
        <v>142</v>
      </c>
      <c r="E31" s="8" t="str">
        <f>Currency</f>
        <v>₦`m</v>
      </c>
      <c r="N31" s="58">
        <v>407</v>
      </c>
      <c r="O31" s="58">
        <v>407</v>
      </c>
      <c r="P31" s="4">
        <f>Calc!P131</f>
        <v>407</v>
      </c>
      <c r="Q31" s="4">
        <f>Calc!Q131</f>
        <v>407</v>
      </c>
      <c r="R31" s="4">
        <f>Calc!R131</f>
        <v>407</v>
      </c>
      <c r="S31" s="4">
        <f>Calc!S131</f>
        <v>407</v>
      </c>
      <c r="T31" s="4">
        <f>Calc!T131</f>
        <v>407</v>
      </c>
    </row>
    <row r="32" spans="3:20" outlineLevel="2" x14ac:dyDescent="0.2">
      <c r="D32" s="49" t="s">
        <v>143</v>
      </c>
      <c r="E32" s="8" t="str">
        <f>Currency</f>
        <v>₦`m</v>
      </c>
      <c r="N32" s="58">
        <v>17216</v>
      </c>
      <c r="O32" s="58">
        <v>17216</v>
      </c>
      <c r="P32" s="4">
        <f>Calc!P136</f>
        <v>17216</v>
      </c>
      <c r="Q32" s="4">
        <f>Calc!Q136</f>
        <v>17216</v>
      </c>
      <c r="R32" s="4">
        <f>Calc!R136</f>
        <v>17216</v>
      </c>
      <c r="S32" s="4">
        <f>Calc!S136</f>
        <v>17216</v>
      </c>
      <c r="T32" s="4">
        <f>Calc!T136</f>
        <v>17216</v>
      </c>
    </row>
    <row r="33" spans="3:20" outlineLevel="2" x14ac:dyDescent="0.2">
      <c r="D33" s="49" t="s">
        <v>144</v>
      </c>
      <c r="E33" s="8" t="str">
        <f>Currency</f>
        <v>₦`m</v>
      </c>
      <c r="N33" s="58">
        <v>521</v>
      </c>
      <c r="O33" s="58">
        <v>239</v>
      </c>
      <c r="P33" s="4">
        <f>Calc!P141</f>
        <v>239</v>
      </c>
      <c r="Q33" s="4">
        <f>Calc!Q141</f>
        <v>239</v>
      </c>
      <c r="R33" s="4">
        <f>Calc!R141</f>
        <v>239</v>
      </c>
      <c r="S33" s="4">
        <f>Calc!S141</f>
        <v>239</v>
      </c>
      <c r="T33" s="4">
        <f>Calc!T141</f>
        <v>239</v>
      </c>
    </row>
    <row r="34" spans="3:20" outlineLevel="2" x14ac:dyDescent="0.2">
      <c r="D34" s="49" t="s">
        <v>145</v>
      </c>
      <c r="E34" s="8" t="str">
        <f>Currency</f>
        <v>₦`m</v>
      </c>
      <c r="N34" s="58">
        <v>127713</v>
      </c>
      <c r="O34" s="58">
        <v>160524</v>
      </c>
      <c r="P34" s="4">
        <f>Calc!P152</f>
        <v>220342.94900930944</v>
      </c>
      <c r="Q34" s="4">
        <f>Calc!Q152</f>
        <v>290839.2841743161</v>
      </c>
      <c r="R34" s="4">
        <f>Calc!R152</f>
        <v>340668.60729055549</v>
      </c>
      <c r="S34" s="4">
        <f>Calc!S152</f>
        <v>402615.19836465816</v>
      </c>
      <c r="T34" s="4">
        <f>Calc!T152</f>
        <v>479351.76076659869</v>
      </c>
    </row>
    <row r="35" spans="3:20" ht="15" outlineLevel="1" x14ac:dyDescent="0.25">
      <c r="D35" s="46" t="s">
        <v>163</v>
      </c>
      <c r="E35" s="8" t="str">
        <f>Currency</f>
        <v>₦`m</v>
      </c>
      <c r="N35" s="48">
        <f>SUM(N31:N34)</f>
        <v>145857</v>
      </c>
      <c r="O35" s="48">
        <f>SUM(O31:O34)</f>
        <v>178386</v>
      </c>
      <c r="P35" s="48">
        <f>SUM(P31:P34)</f>
        <v>238204.94900930944</v>
      </c>
      <c r="Q35" s="48">
        <f t="shared" ref="Q35:T35" si="7">SUM(Q31:Q34)</f>
        <v>308701.2841743161</v>
      </c>
      <c r="R35" s="48">
        <f t="shared" si="7"/>
        <v>358530.60729055549</v>
      </c>
      <c r="S35" s="48">
        <f t="shared" si="7"/>
        <v>420477.19836465816</v>
      </c>
      <c r="T35" s="48">
        <f t="shared" si="7"/>
        <v>497213.76076659869</v>
      </c>
    </row>
    <row r="36" spans="3:20" ht="15" x14ac:dyDescent="0.25">
      <c r="C36" s="46" t="s">
        <v>146</v>
      </c>
    </row>
    <row r="37" spans="3:20" ht="15" outlineLevel="1" x14ac:dyDescent="0.25">
      <c r="D37" s="46" t="s">
        <v>147</v>
      </c>
    </row>
    <row r="38" spans="3:20" outlineLevel="2" x14ac:dyDescent="0.2">
      <c r="D38" s="49" t="s">
        <v>148</v>
      </c>
      <c r="E38" s="8" t="str">
        <f t="shared" ref="E38:E43" si="8">Currency</f>
        <v>₦`m</v>
      </c>
      <c r="N38" s="58">
        <f>380089+32453</f>
        <v>412542</v>
      </c>
      <c r="O38" s="58">
        <f>330551+190599</f>
        <v>521150</v>
      </c>
      <c r="P38" s="4">
        <f>Calc!P177</f>
        <v>432560.83333333337</v>
      </c>
      <c r="Q38" s="4">
        <f>Calc!Q177</f>
        <v>458336.19162793399</v>
      </c>
      <c r="R38" s="4">
        <f>Calc!R177</f>
        <v>496878.56668368669</v>
      </c>
      <c r="S38" s="4">
        <f>Calc!S177</f>
        <v>393118.74949636613</v>
      </c>
      <c r="T38" s="4">
        <f>Calc!T177</f>
        <v>548975.58558707463</v>
      </c>
    </row>
    <row r="39" spans="3:20" outlineLevel="2" x14ac:dyDescent="0.2">
      <c r="D39" s="49" t="s">
        <v>150</v>
      </c>
      <c r="E39" s="8" t="str">
        <f t="shared" si="8"/>
        <v>₦`m</v>
      </c>
      <c r="N39" s="58">
        <f>458509+33564</f>
        <v>492073</v>
      </c>
      <c r="O39" s="58">
        <f>586992+54798</f>
        <v>641790</v>
      </c>
      <c r="P39" s="4">
        <f>Calc!P160</f>
        <v>627851.16044406989</v>
      </c>
      <c r="Q39" s="4">
        <f>Calc!Q160</f>
        <v>679433.98010654887</v>
      </c>
      <c r="R39" s="4">
        <f>Calc!R160</f>
        <v>670155.45981571882</v>
      </c>
      <c r="S39" s="4">
        <f>Calc!S160</f>
        <v>633839.73544830491</v>
      </c>
      <c r="T39" s="4">
        <f>Calc!T160</f>
        <v>716999.50873912242</v>
      </c>
    </row>
    <row r="40" spans="3:20" outlineLevel="2" x14ac:dyDescent="0.2">
      <c r="D40" s="49" t="s">
        <v>151</v>
      </c>
      <c r="E40" s="8" t="str">
        <f t="shared" si="8"/>
        <v>₦`m</v>
      </c>
      <c r="N40" s="58">
        <v>120587</v>
      </c>
      <c r="O40" s="58">
        <v>113130</v>
      </c>
      <c r="P40" s="4">
        <f>Calc!P71</f>
        <v>120005.74126543786</v>
      </c>
      <c r="Q40" s="4">
        <f>Calc!Q71</f>
        <v>128108.76829589839</v>
      </c>
      <c r="R40" s="4">
        <f>Calc!R71</f>
        <v>133836.27670006384</v>
      </c>
      <c r="S40" s="4">
        <f>Calc!S71</f>
        <v>140956.57452467337</v>
      </c>
      <c r="T40" s="4">
        <f>Calc!T71</f>
        <v>149776.86905363205</v>
      </c>
    </row>
    <row r="41" spans="3:20" outlineLevel="2" x14ac:dyDescent="0.2">
      <c r="D41" s="49" t="s">
        <v>153</v>
      </c>
      <c r="E41" s="8" t="str">
        <f t="shared" si="8"/>
        <v>₦`m</v>
      </c>
      <c r="N41" s="58">
        <v>745</v>
      </c>
      <c r="O41" s="58">
        <v>2273</v>
      </c>
      <c r="P41" s="4">
        <f>Calc!P112</f>
        <v>2273</v>
      </c>
      <c r="Q41" s="4">
        <f>Calc!Q112</f>
        <v>2273</v>
      </c>
      <c r="R41" s="4">
        <f>Calc!R112</f>
        <v>2273</v>
      </c>
      <c r="S41" s="4">
        <f>Calc!S112</f>
        <v>2273</v>
      </c>
      <c r="T41" s="4">
        <f>Calc!T112</f>
        <v>2273</v>
      </c>
    </row>
    <row r="42" spans="3:20" outlineLevel="2" x14ac:dyDescent="0.2">
      <c r="D42" s="49" t="s">
        <v>154</v>
      </c>
      <c r="E42" s="8" t="str">
        <f t="shared" si="8"/>
        <v>₦`m</v>
      </c>
      <c r="N42" s="58">
        <v>1578</v>
      </c>
      <c r="O42" s="58">
        <v>8261</v>
      </c>
      <c r="P42" s="4">
        <f>Calc!P113</f>
        <v>8142.6777577781986</v>
      </c>
      <c r="Q42" s="4">
        <f>Calc!Q113</f>
        <v>9892.5587503513525</v>
      </c>
      <c r="R42" s="4">
        <f>Calc!R113</f>
        <v>17424.04195520869</v>
      </c>
      <c r="S42" s="4">
        <f>Calc!S113</f>
        <v>19226.471975265253</v>
      </c>
      <c r="T42" s="4">
        <f>Calc!T113</f>
        <v>20389.673529768799</v>
      </c>
    </row>
    <row r="43" spans="3:20" ht="15" outlineLevel="1" x14ac:dyDescent="0.25">
      <c r="D43" s="46" t="s">
        <v>164</v>
      </c>
      <c r="E43" s="8" t="str">
        <f t="shared" si="8"/>
        <v>₦`m</v>
      </c>
      <c r="N43" s="48">
        <f>SUM(N38:N42)</f>
        <v>1027525</v>
      </c>
      <c r="O43" s="48">
        <f>SUM(O38:O42)</f>
        <v>1286604</v>
      </c>
      <c r="P43" s="48">
        <f>SUM(P38:P42)</f>
        <v>1190833.4128006191</v>
      </c>
      <c r="Q43" s="48">
        <f t="shared" ref="Q43:T43" si="9">SUM(Q38:Q42)</f>
        <v>1278044.4987807327</v>
      </c>
      <c r="R43" s="48">
        <f t="shared" si="9"/>
        <v>1320567.345154678</v>
      </c>
      <c r="S43" s="48">
        <f t="shared" si="9"/>
        <v>1189414.5314446096</v>
      </c>
      <c r="T43" s="48">
        <f t="shared" si="9"/>
        <v>1438414.636909598</v>
      </c>
    </row>
    <row r="44" spans="3:20" ht="15" outlineLevel="1" x14ac:dyDescent="0.25">
      <c r="D44" s="46" t="s">
        <v>155</v>
      </c>
    </row>
    <row r="45" spans="3:20" outlineLevel="2" x14ac:dyDescent="0.2">
      <c r="D45" s="49" t="s">
        <v>211</v>
      </c>
      <c r="E45" s="8" t="str">
        <f t="shared" ref="E45:E56" si="10">Currency</f>
        <v>₦`m</v>
      </c>
      <c r="N45" s="58">
        <f>27467+16383</f>
        <v>43850</v>
      </c>
      <c r="O45" s="58">
        <f>67384+27474</f>
        <v>94858</v>
      </c>
      <c r="P45" s="4">
        <f>Calc!P114</f>
        <v>103262.87423151614</v>
      </c>
      <c r="Q45" s="4">
        <f>Calc!Q114</f>
        <v>118822.81161093379</v>
      </c>
      <c r="R45" s="4">
        <f>Calc!R114</f>
        <v>149280.00076877914</v>
      </c>
      <c r="S45" s="4">
        <f>Calc!S114</f>
        <v>165098.34869133815</v>
      </c>
      <c r="T45" s="4">
        <f>Calc!T114</f>
        <v>175086.79878716412</v>
      </c>
    </row>
    <row r="46" spans="3:20" outlineLevel="2" x14ac:dyDescent="0.2">
      <c r="D46" s="49" t="s">
        <v>208</v>
      </c>
      <c r="E46" s="8" t="str">
        <f t="shared" si="10"/>
        <v>₦`m</v>
      </c>
      <c r="N46" s="58">
        <f>64023+1092</f>
        <v>65115</v>
      </c>
      <c r="O46" s="58">
        <f>170227+1250</f>
        <v>171477</v>
      </c>
      <c r="P46" s="4">
        <f>Calc!P115</f>
        <v>171477</v>
      </c>
      <c r="Q46" s="4">
        <f>Calc!Q115</f>
        <v>171477</v>
      </c>
      <c r="R46" s="4">
        <f>Calc!R115</f>
        <v>171477</v>
      </c>
      <c r="S46" s="4">
        <f>Calc!S115</f>
        <v>171477</v>
      </c>
      <c r="T46" s="4">
        <f>Calc!T115</f>
        <v>171477</v>
      </c>
    </row>
    <row r="47" spans="3:20" outlineLevel="2" x14ac:dyDescent="0.2">
      <c r="D47" s="49" t="s">
        <v>209</v>
      </c>
      <c r="E47" s="8" t="str">
        <f t="shared" si="10"/>
        <v>₦`m</v>
      </c>
      <c r="N47" s="58">
        <f>434</f>
        <v>434</v>
      </c>
      <c r="O47" s="58">
        <f>607</f>
        <v>607</v>
      </c>
      <c r="P47" s="4">
        <f>Calc!P146</f>
        <v>897.28423513964185</v>
      </c>
      <c r="Q47" s="4">
        <f>Calc!Q146</f>
        <v>1057.4450274751007</v>
      </c>
      <c r="R47" s="4">
        <f>Calc!R146</f>
        <v>747.43984674359058</v>
      </c>
      <c r="S47" s="4">
        <f>Calc!S146</f>
        <v>929.19886611154084</v>
      </c>
      <c r="T47" s="4">
        <f>Calc!T146</f>
        <v>1151.0484360291077</v>
      </c>
    </row>
    <row r="48" spans="3:20" outlineLevel="2" x14ac:dyDescent="0.2">
      <c r="D48" s="49" t="s">
        <v>210</v>
      </c>
      <c r="E48" s="8" t="str">
        <f t="shared" si="10"/>
        <v>₦`m</v>
      </c>
      <c r="N48" s="58">
        <f>68937</f>
        <v>68937</v>
      </c>
      <c r="O48" s="58">
        <f>15702</f>
        <v>15702</v>
      </c>
      <c r="P48" s="4">
        <f>Calc!P116</f>
        <v>16828.200699408277</v>
      </c>
      <c r="Q48" s="4">
        <f>Calc!Q116</f>
        <v>19588.081646471805</v>
      </c>
      <c r="R48" s="4">
        <f>Calc!R116</f>
        <v>36088.828876019055</v>
      </c>
      <c r="S48" s="4">
        <f>Calc!S116</f>
        <v>40346.011960402771</v>
      </c>
      <c r="T48" s="4">
        <f>Calc!T116</f>
        <v>42786.945684007151</v>
      </c>
    </row>
    <row r="49" spans="4:20" outlineLevel="2" x14ac:dyDescent="0.2">
      <c r="D49" s="49" t="s">
        <v>212</v>
      </c>
      <c r="E49" s="8" t="str">
        <f t="shared" si="10"/>
        <v>₦`m</v>
      </c>
      <c r="N49" s="58">
        <f>12108</f>
        <v>12108</v>
      </c>
      <c r="O49" s="58">
        <f>21333</f>
        <v>21333</v>
      </c>
      <c r="P49" s="4">
        <f>Calc!P117</f>
        <v>30511.101865380537</v>
      </c>
      <c r="Q49" s="4">
        <f>Calc!Q117</f>
        <v>35957.18244766866</v>
      </c>
      <c r="R49" s="4">
        <f>Calc!R117</f>
        <v>25415.818543484158</v>
      </c>
      <c r="S49" s="4">
        <f>Calc!S117</f>
        <v>31596.321596704693</v>
      </c>
      <c r="T49" s="4">
        <f>Calc!T117</f>
        <v>39140.05697225414</v>
      </c>
    </row>
    <row r="50" spans="4:20" outlineLevel="2" x14ac:dyDescent="0.2">
      <c r="D50" s="49" t="s">
        <v>149</v>
      </c>
      <c r="E50" s="8" t="str">
        <f t="shared" si="10"/>
        <v>₦`m</v>
      </c>
      <c r="N50" s="58">
        <f>0+265</f>
        <v>265</v>
      </c>
      <c r="O50" s="58">
        <f>194+0</f>
        <v>194</v>
      </c>
      <c r="P50" s="4">
        <f>Calc!P118</f>
        <v>194</v>
      </c>
      <c r="Q50" s="4">
        <f>Calc!Q118</f>
        <v>194</v>
      </c>
      <c r="R50" s="4">
        <f>Calc!R118</f>
        <v>194</v>
      </c>
      <c r="S50" s="4">
        <f>Calc!S118</f>
        <v>194</v>
      </c>
      <c r="T50" s="4">
        <f>Calc!T118</f>
        <v>194</v>
      </c>
    </row>
    <row r="51" spans="4:20" outlineLevel="2" x14ac:dyDescent="0.2">
      <c r="D51" s="49" t="s">
        <v>157</v>
      </c>
      <c r="E51" s="8" t="str">
        <f t="shared" si="10"/>
        <v>₦`m</v>
      </c>
      <c r="N51" s="58">
        <v>46806</v>
      </c>
      <c r="O51" s="58">
        <v>62301</v>
      </c>
      <c r="P51" s="4">
        <f>Calc!P119</f>
        <v>68601.314442819988</v>
      </c>
      <c r="Q51" s="4">
        <f>Calc!Q119</f>
        <v>78134.907712253116</v>
      </c>
      <c r="R51" s="4">
        <f>Calc!R119</f>
        <v>88077.574718637334</v>
      </c>
      <c r="S51" s="4">
        <f>Calc!S119</f>
        <v>97188.75943540677</v>
      </c>
      <c r="T51" s="4">
        <f>Calc!T119</f>
        <v>103068.67938124885</v>
      </c>
    </row>
    <row r="52" spans="4:20" outlineLevel="2" x14ac:dyDescent="0.2">
      <c r="D52" s="49" t="s">
        <v>158</v>
      </c>
      <c r="E52" s="8" t="str">
        <f t="shared" si="10"/>
        <v>₦`m</v>
      </c>
      <c r="N52" s="58">
        <v>65625</v>
      </c>
      <c r="O52" s="58">
        <v>107310</v>
      </c>
      <c r="P52" s="4">
        <f>Calc!P120</f>
        <v>154274.44464326216</v>
      </c>
      <c r="Q52" s="4">
        <f>Calc!Q120</f>
        <v>181811.66899595843</v>
      </c>
      <c r="R52" s="4">
        <f>Calc!R120</f>
        <v>128510.96981846217</v>
      </c>
      <c r="S52" s="4">
        <f>Calc!S120</f>
        <v>159761.68243967585</v>
      </c>
      <c r="T52" s="4">
        <f>Calc!T120</f>
        <v>197905.35849351037</v>
      </c>
    </row>
    <row r="53" spans="4:20" outlineLevel="2" x14ac:dyDescent="0.2">
      <c r="D53" s="49" t="s">
        <v>152</v>
      </c>
      <c r="E53" s="8" t="str">
        <f t="shared" si="10"/>
        <v>₦`m</v>
      </c>
      <c r="N53" s="58">
        <f>25690+71</f>
        <v>25761</v>
      </c>
      <c r="O53" s="58">
        <f>24733+38</f>
        <v>24771</v>
      </c>
      <c r="P53" s="4">
        <f>Calc!P121</f>
        <v>24771</v>
      </c>
      <c r="Q53" s="4">
        <f>Calc!Q121</f>
        <v>24771</v>
      </c>
      <c r="R53" s="4">
        <f>Calc!R121</f>
        <v>24771</v>
      </c>
      <c r="S53" s="4">
        <f>Calc!S121</f>
        <v>24771</v>
      </c>
      <c r="T53" s="4">
        <f>Calc!T121</f>
        <v>24771</v>
      </c>
    </row>
    <row r="54" spans="4:20" ht="15" outlineLevel="1" x14ac:dyDescent="0.25">
      <c r="D54" s="46" t="s">
        <v>165</v>
      </c>
      <c r="E54" s="8" t="str">
        <f t="shared" si="10"/>
        <v>₦`m</v>
      </c>
      <c r="N54" s="48">
        <f>SUM(N45:N53)</f>
        <v>328901</v>
      </c>
      <c r="O54" s="48">
        <f>SUM(O45:O53)</f>
        <v>498553</v>
      </c>
      <c r="P54" s="48">
        <f>SUM(P45:P53)</f>
        <v>570817.22011752671</v>
      </c>
      <c r="Q54" s="48">
        <f t="shared" ref="Q54:T54" si="11">SUM(Q45:Q53)</f>
        <v>631814.09744076093</v>
      </c>
      <c r="R54" s="48">
        <f t="shared" si="11"/>
        <v>624562.63257212541</v>
      </c>
      <c r="S54" s="48">
        <f t="shared" si="11"/>
        <v>691362.32298963983</v>
      </c>
      <c r="T54" s="48">
        <f t="shared" si="11"/>
        <v>755580.88775421376</v>
      </c>
    </row>
    <row r="55" spans="4:20" ht="15" outlineLevel="1" x14ac:dyDescent="0.25">
      <c r="D55" s="46" t="s">
        <v>159</v>
      </c>
      <c r="E55" s="8" t="str">
        <f t="shared" si="10"/>
        <v>₦`m</v>
      </c>
      <c r="N55" s="48">
        <f>N43+N54</f>
        <v>1356426</v>
      </c>
      <c r="O55" s="48">
        <f>O43+O54</f>
        <v>1785157</v>
      </c>
      <c r="P55" s="48">
        <f>P43+P54</f>
        <v>1761650.632918146</v>
      </c>
      <c r="Q55" s="48">
        <f t="shared" ref="Q55:T55" si="12">Q43+Q54</f>
        <v>1909858.5962214936</v>
      </c>
      <c r="R55" s="48">
        <f t="shared" si="12"/>
        <v>1945129.9777268034</v>
      </c>
      <c r="S55" s="48">
        <f t="shared" si="12"/>
        <v>1880776.8544342495</v>
      </c>
      <c r="T55" s="48">
        <f t="shared" si="12"/>
        <v>2193995.5246638115</v>
      </c>
    </row>
    <row r="56" spans="4:20" ht="15" outlineLevel="1" x14ac:dyDescent="0.25">
      <c r="D56" s="46" t="s">
        <v>160</v>
      </c>
      <c r="E56" s="8" t="str">
        <f t="shared" si="10"/>
        <v>₦`m</v>
      </c>
      <c r="N56" s="48">
        <f>N35+N55</f>
        <v>1502283</v>
      </c>
      <c r="O56" s="48">
        <f>O35+O55</f>
        <v>1963543</v>
      </c>
      <c r="P56" s="48">
        <f>P35+P55</f>
        <v>1999855.5819274555</v>
      </c>
      <c r="Q56" s="48">
        <f t="shared" ref="Q56:T56" si="13">Q35+Q55</f>
        <v>2218559.8803958097</v>
      </c>
      <c r="R56" s="48">
        <f t="shared" si="13"/>
        <v>2303660.5850173589</v>
      </c>
      <c r="S56" s="48">
        <f t="shared" si="13"/>
        <v>2301254.0527989077</v>
      </c>
      <c r="T56" s="48">
        <f t="shared" si="13"/>
        <v>2691209.2854304104</v>
      </c>
    </row>
    <row r="57" spans="4:20" outlineLevel="1" x14ac:dyDescent="0.2"/>
    <row r="58" spans="4:20" outlineLevel="1" x14ac:dyDescent="0.2">
      <c r="D58" s="4" t="s">
        <v>365</v>
      </c>
      <c r="G58" s="106" t="str">
        <f>IF(I58,"Model Balance Check: OK")</f>
        <v>Model Balance Check: OK</v>
      </c>
      <c r="I58" s="4" t="b">
        <f>SUM(N58:T58)=0</f>
        <v>1</v>
      </c>
      <c r="N58" s="4">
        <f>N28-N56</f>
        <v>0</v>
      </c>
      <c r="O58" s="4">
        <f t="shared" ref="O58:T58" si="14">O28-O56</f>
        <v>0</v>
      </c>
      <c r="P58" s="4">
        <f t="shared" si="14"/>
        <v>0</v>
      </c>
      <c r="Q58" s="4">
        <f t="shared" si="14"/>
        <v>0</v>
      </c>
      <c r="R58" s="4">
        <f t="shared" si="14"/>
        <v>0</v>
      </c>
      <c r="S58" s="4">
        <f t="shared" si="14"/>
        <v>0</v>
      </c>
      <c r="T58" s="4">
        <f t="shared" si="14"/>
        <v>0</v>
      </c>
    </row>
    <row r="59" spans="4:20" outlineLevel="1" x14ac:dyDescent="0.2"/>
    <row r="60" spans="4:20" outlineLevel="1" x14ac:dyDescent="0.2"/>
  </sheetData>
  <pageMargins left="0.7" right="0.7" top="0.75" bottom="0.75" header="0.3" footer="0.3"/>
  <pageSetup paperSize="9" scale="73" fitToHeight="0" orientation="landscape" r:id="rId1"/>
  <headerFooter>
    <oddFooter>&amp;LPrinted on: &amp;D at &amp;T&amp;C&amp;A&amp;R&amp;P of &amp;N</oddFooter>
  </headerFooter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6" r:id="rId5" name="Drop Down 26">
              <controlPr defaultSize="0" autoLine="0" autoPict="0">
                <anchor moveWithCells="1">
                  <from>
                    <xdr:col>17</xdr:col>
                    <xdr:colOff>485775</xdr:colOff>
                    <xdr:row>2</xdr:row>
                    <xdr:rowOff>19050</xdr:rowOff>
                  </from>
                  <to>
                    <xdr:col>19</xdr:col>
                    <xdr:colOff>95250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EA58C-A801-45CB-8434-9CC6002D9F23}">
  <sheetPr codeName="Sheet14">
    <tabColor rgb="FF00B0F0"/>
    <outlinePr summaryBelow="0" summaryRight="0"/>
    <pageSetUpPr fitToPage="1"/>
  </sheetPr>
  <dimension ref="B1:T53"/>
  <sheetViews>
    <sheetView showGridLines="0" workbookViewId="0">
      <pane ySplit="7" topLeftCell="A8" activePane="bottomLeft" state="frozen"/>
      <selection activeCell="D6" sqref="D6"/>
      <selection pane="bottomLeft" activeCell="A8" sqref="A8"/>
    </sheetView>
  </sheetViews>
  <sheetFormatPr defaultColWidth="8.75" defaultRowHeight="14.25" outlineLevelRow="1" x14ac:dyDescent="0.2"/>
  <cols>
    <col min="1" max="3" width="3.625" style="4" customWidth="1"/>
    <col min="4" max="4" width="30.125" style="4" bestFit="1" customWidth="1"/>
    <col min="5" max="5" width="5.5" style="4" customWidth="1"/>
    <col min="6" max="6" width="9.25" style="4" customWidth="1"/>
    <col min="7" max="7" width="6.625" style="4" bestFit="1" customWidth="1"/>
    <col min="8" max="8" width="1.875" style="4" customWidth="1"/>
    <col min="9" max="9" width="9.25" style="4" bestFit="1" customWidth="1"/>
    <col min="10" max="10" width="11.375" style="4" bestFit="1" customWidth="1"/>
    <col min="11" max="12" width="2.75" style="4" customWidth="1"/>
    <col min="13" max="14" width="6.25" style="4" bestFit="1" customWidth="1"/>
    <col min="15" max="16384" width="8.75" style="4"/>
  </cols>
  <sheetData>
    <row r="1" spans="2:20" ht="5.45" customHeight="1" x14ac:dyDescent="0.2"/>
    <row r="2" spans="2:20" ht="20.25" x14ac:dyDescent="0.3">
      <c r="B2" s="20" t="str">
        <f>Menu!$F$7</f>
        <v>MTN Nigeria Communications Plc.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spans="2:20" ht="18" x14ac:dyDescent="0.25">
      <c r="C3" s="40" t="s">
        <v>66</v>
      </c>
    </row>
    <row r="4" spans="2:20" ht="15" x14ac:dyDescent="0.25">
      <c r="D4" s="96" t="str">
        <f>Scenario</f>
        <v>Live Scenario: Base case</v>
      </c>
    </row>
    <row r="5" spans="2:20" ht="15.75" x14ac:dyDescent="0.25">
      <c r="D5" s="107" t="str">
        <f>Balanced</f>
        <v>Model Balance Check: OK</v>
      </c>
      <c r="M5" s="50" t="s">
        <v>90</v>
      </c>
      <c r="N5" s="42" t="s">
        <v>90</v>
      </c>
      <c r="O5" s="42" t="s">
        <v>90</v>
      </c>
      <c r="P5" s="42" t="s">
        <v>91</v>
      </c>
      <c r="Q5" s="42" t="s">
        <v>91</v>
      </c>
      <c r="R5" s="42" t="s">
        <v>91</v>
      </c>
      <c r="S5" s="42" t="s">
        <v>91</v>
      </c>
      <c r="T5" s="42" t="s">
        <v>91</v>
      </c>
    </row>
    <row r="6" spans="2:20" x14ac:dyDescent="0.2">
      <c r="D6" s="4" t="s">
        <v>85</v>
      </c>
      <c r="M6" s="51">
        <f>N6-1</f>
        <v>2018</v>
      </c>
      <c r="N6" s="38">
        <f>O6-1</f>
        <v>2019</v>
      </c>
      <c r="O6" s="38">
        <f>Menu!$F$14</f>
        <v>2020</v>
      </c>
      <c r="P6" s="37">
        <f>O6+1</f>
        <v>2021</v>
      </c>
      <c r="Q6" s="37">
        <f t="shared" ref="Q6:T6" si="0">P6+1</f>
        <v>2022</v>
      </c>
      <c r="R6" s="37">
        <f t="shared" si="0"/>
        <v>2023</v>
      </c>
      <c r="S6" s="37">
        <f t="shared" si="0"/>
        <v>2024</v>
      </c>
      <c r="T6" s="37">
        <f t="shared" si="0"/>
        <v>2025</v>
      </c>
    </row>
    <row r="7" spans="2:20" ht="25.5" x14ac:dyDescent="0.2">
      <c r="D7" s="8" t="s">
        <v>81</v>
      </c>
      <c r="E7" s="8" t="s">
        <v>82</v>
      </c>
      <c r="F7" s="8" t="s">
        <v>83</v>
      </c>
      <c r="G7" s="8" t="s">
        <v>84</v>
      </c>
      <c r="I7" s="45" t="s">
        <v>118</v>
      </c>
      <c r="J7" s="45" t="s">
        <v>119</v>
      </c>
    </row>
    <row r="9" spans="2:20" ht="15" x14ac:dyDescent="0.25">
      <c r="C9" s="46" t="s">
        <v>334</v>
      </c>
    </row>
    <row r="10" spans="2:20" outlineLevel="1" x14ac:dyDescent="0.2">
      <c r="D10" s="90" t="s">
        <v>191</v>
      </c>
      <c r="E10" s="8" t="str">
        <f t="shared" ref="E10:E24" si="1">Currency</f>
        <v>₦`m</v>
      </c>
      <c r="P10" s="4">
        <f>'P&amp;L'!P21</f>
        <v>532598.34578839969</v>
      </c>
      <c r="Q10" s="4">
        <f>'P&amp;L'!Q21</f>
        <v>605951.89233292511</v>
      </c>
      <c r="R10" s="4">
        <f>'P&amp;L'!R21</f>
        <v>465725.74673642457</v>
      </c>
      <c r="S10" s="4">
        <f>'P&amp;L'!S21</f>
        <v>535447.66011272511</v>
      </c>
      <c r="T10" s="4">
        <f>'P&amp;L'!T21</f>
        <v>620366.82554344111</v>
      </c>
    </row>
    <row r="11" spans="2:20" outlineLevel="1" x14ac:dyDescent="0.2">
      <c r="D11" s="91" t="s">
        <v>325</v>
      </c>
    </row>
    <row r="12" spans="2:20" outlineLevel="1" x14ac:dyDescent="0.2">
      <c r="D12" s="90" t="str">
        <f>'P&amp;L'!D18</f>
        <v>Depreciation of PPE</v>
      </c>
      <c r="E12" s="8" t="str">
        <f t="shared" si="1"/>
        <v>₦`m</v>
      </c>
      <c r="P12" s="4">
        <f>'P&amp;L'!P18</f>
        <v>166049.99400000001</v>
      </c>
      <c r="Q12" s="4">
        <f>'P&amp;L'!Q18</f>
        <v>161544.711446</v>
      </c>
      <c r="R12" s="4">
        <f>'P&amp;L'!R18</f>
        <v>228061.97464017002</v>
      </c>
      <c r="S12" s="4">
        <f>'P&amp;L'!S18</f>
        <v>221038.47260862211</v>
      </c>
      <c r="T12" s="4">
        <f>'P&amp;L'!T18</f>
        <v>187531.49357685991</v>
      </c>
    </row>
    <row r="13" spans="2:20" outlineLevel="1" x14ac:dyDescent="0.2">
      <c r="D13" s="90" t="str">
        <f>'P&amp;L'!D19</f>
        <v>Amortisation of intangible assets</v>
      </c>
      <c r="E13" s="8" t="str">
        <f t="shared" si="1"/>
        <v>₦`m</v>
      </c>
      <c r="P13" s="4">
        <f>'P&amp;L'!P19</f>
        <v>31568.160000000003</v>
      </c>
      <c r="Q13" s="4">
        <f>'P&amp;L'!Q19</f>
        <v>34600.415337990147</v>
      </c>
      <c r="R13" s="4">
        <f>'P&amp;L'!R19</f>
        <v>34066.975258440376</v>
      </c>
      <c r="S13" s="4">
        <f>'P&amp;L'!S19</f>
        <v>37041.34878791996</v>
      </c>
      <c r="T13" s="4">
        <f>'P&amp;L'!T19</f>
        <v>39663.809278287015</v>
      </c>
    </row>
    <row r="14" spans="2:20" outlineLevel="1" x14ac:dyDescent="0.2">
      <c r="D14" s="90" t="str">
        <f>'P&amp;L'!D20</f>
        <v>Depreciation of right of use assets</v>
      </c>
      <c r="E14" s="8" t="str">
        <f t="shared" si="1"/>
        <v>₦`m</v>
      </c>
      <c r="P14" s="4">
        <f>'P&amp;L'!P20</f>
        <v>45276.619999999995</v>
      </c>
      <c r="Q14" s="4">
        <f>'P&amp;L'!Q20</f>
        <v>70975.645319999996</v>
      </c>
      <c r="R14" s="4">
        <f>'P&amp;L'!R20</f>
        <v>57184.556291949993</v>
      </c>
      <c r="S14" s="4">
        <f>'P&amp;L'!S20</f>
        <v>66381.759582266313</v>
      </c>
      <c r="T14" s="4">
        <f>'P&amp;L'!T20</f>
        <v>64371.621778982881</v>
      </c>
    </row>
    <row r="15" spans="2:20" ht="15" outlineLevel="1" x14ac:dyDescent="0.25">
      <c r="D15" s="90" t="s">
        <v>188</v>
      </c>
      <c r="E15" s="8" t="str">
        <f t="shared" si="1"/>
        <v>₦`m</v>
      </c>
      <c r="P15" s="48">
        <f>P10+P12+P13+P14</f>
        <v>775493.11978839966</v>
      </c>
      <c r="Q15" s="48">
        <f t="shared" ref="Q15:T15" si="2">Q10+Q12+Q13+Q14</f>
        <v>873072.66443691531</v>
      </c>
      <c r="R15" s="48">
        <f t="shared" si="2"/>
        <v>785039.25292698503</v>
      </c>
      <c r="S15" s="48">
        <f t="shared" si="2"/>
        <v>859909.24109153356</v>
      </c>
      <c r="T15" s="48">
        <f t="shared" si="2"/>
        <v>911933.75017757097</v>
      </c>
    </row>
    <row r="16" spans="2:20" outlineLevel="1" x14ac:dyDescent="0.2">
      <c r="D16" s="90" t="s">
        <v>326</v>
      </c>
      <c r="E16" s="8" t="str">
        <f t="shared" si="1"/>
        <v>₦`m</v>
      </c>
      <c r="P16" s="4">
        <f>Calc!P124</f>
        <v>61880.952554998279</v>
      </c>
      <c r="Q16" s="4">
        <f>Calc!Q124</f>
        <v>51491.359216467768</v>
      </c>
      <c r="R16" s="4">
        <f>Calc!R124</f>
        <v>-38765.666616553848</v>
      </c>
      <c r="S16" s="4">
        <f>Calc!S124</f>
        <v>54530.13168916601</v>
      </c>
      <c r="T16" s="4">
        <f>Calc!T124</f>
        <v>56818.611184249632</v>
      </c>
    </row>
    <row r="17" spans="3:20" outlineLevel="1" x14ac:dyDescent="0.2">
      <c r="D17" s="90" t="s">
        <v>327</v>
      </c>
      <c r="E17" s="8" t="str">
        <f t="shared" si="1"/>
        <v>₦`m</v>
      </c>
      <c r="P17" s="4">
        <f>'P&amp;L'!P22</f>
        <v>104</v>
      </c>
      <c r="Q17" s="4">
        <f>'P&amp;L'!Q22</f>
        <v>104</v>
      </c>
      <c r="R17" s="4">
        <f>'P&amp;L'!R22</f>
        <v>104</v>
      </c>
      <c r="S17" s="4">
        <f>'P&amp;L'!S22</f>
        <v>104</v>
      </c>
      <c r="T17" s="4">
        <f>'P&amp;L'!T22</f>
        <v>104</v>
      </c>
    </row>
    <row r="18" spans="3:20" outlineLevel="1" x14ac:dyDescent="0.2">
      <c r="D18" s="90" t="s">
        <v>328</v>
      </c>
      <c r="E18" s="8" t="str">
        <f t="shared" si="1"/>
        <v>₦`m</v>
      </c>
      <c r="P18" s="4">
        <f>'P&amp;L'!P23</f>
        <v>35775.74</v>
      </c>
      <c r="Q18" s="4">
        <f>'P&amp;L'!Q23</f>
        <v>36240.777880110261</v>
      </c>
      <c r="R18" s="4">
        <f>'P&amp;L'!R23</f>
        <v>30069.443097636431</v>
      </c>
      <c r="S18" s="4">
        <f>'P&amp;L'!S23</f>
        <v>39887.038591148368</v>
      </c>
      <c r="T18" s="4">
        <f>'P&amp;L'!T23</f>
        <v>51743.142681436257</v>
      </c>
    </row>
    <row r="19" spans="3:20" outlineLevel="1" x14ac:dyDescent="0.2">
      <c r="D19" s="90" t="s">
        <v>329</v>
      </c>
      <c r="E19" s="8" t="str">
        <f t="shared" si="1"/>
        <v>₦`m</v>
      </c>
      <c r="P19" s="4">
        <f>'P&amp;L'!P24</f>
        <v>996.5</v>
      </c>
      <c r="Q19" s="4">
        <f>'P&amp;L'!Q24</f>
        <v>1135.75</v>
      </c>
      <c r="R19" s="4">
        <f>'P&amp;L'!R24</f>
        <v>1066.125</v>
      </c>
      <c r="S19" s="4">
        <f>'P&amp;L'!S24</f>
        <v>1100.9375</v>
      </c>
      <c r="T19" s="4">
        <f>'P&amp;L'!T24</f>
        <v>1083.53125</v>
      </c>
    </row>
    <row r="20" spans="3:20" outlineLevel="1" x14ac:dyDescent="0.2">
      <c r="D20" s="90" t="s">
        <v>330</v>
      </c>
      <c r="E20" s="8" t="str">
        <f t="shared" si="1"/>
        <v>₦`m</v>
      </c>
      <c r="P20" s="4">
        <f>-'P&amp;L'!P25</f>
        <v>-133160.2566985329</v>
      </c>
      <c r="Q20" s="4">
        <f>-'P&amp;L'!Q25</f>
        <v>-128701.4808092515</v>
      </c>
      <c r="R20" s="4">
        <f>-'P&amp;L'!R25</f>
        <v>-131559.91457372071</v>
      </c>
      <c r="S20" s="4">
        <f>-'P&amp;L'!S25</f>
        <v>-123657.08466577917</v>
      </c>
      <c r="T20" s="4">
        <f>-'P&amp;L'!T25</f>
        <v>-114379.06016495982</v>
      </c>
    </row>
    <row r="21" spans="3:20" outlineLevel="1" x14ac:dyDescent="0.2">
      <c r="D21" s="90" t="s">
        <v>331</v>
      </c>
      <c r="E21" s="8" t="str">
        <f t="shared" si="1"/>
        <v>₦`m</v>
      </c>
      <c r="P21" s="4">
        <f>-'P&amp;L'!P26</f>
        <v>-6580.5</v>
      </c>
      <c r="Q21" s="4">
        <f>-'P&amp;L'!Q26</f>
        <v>-8291.75</v>
      </c>
      <c r="R21" s="4">
        <f>-'P&amp;L'!R26</f>
        <v>-7436.125</v>
      </c>
      <c r="S21" s="4">
        <f>-'P&amp;L'!S26</f>
        <v>-7863.9375</v>
      </c>
      <c r="T21" s="4">
        <f>-'P&amp;L'!T26</f>
        <v>-7650.03125</v>
      </c>
    </row>
    <row r="22" spans="3:20" outlineLevel="1" x14ac:dyDescent="0.2">
      <c r="D22" s="90" t="s">
        <v>332</v>
      </c>
      <c r="E22" s="8" t="str">
        <f t="shared" si="1"/>
        <v>₦`m</v>
      </c>
      <c r="P22" s="4">
        <f>-Calc!P67</f>
        <v>-130639.08404331951</v>
      </c>
      <c r="Q22" s="4">
        <f>-Calc!Q67</f>
        <v>-153957.51357875034</v>
      </c>
      <c r="R22" s="4">
        <f>-Calc!R67</f>
        <v>-108822.65967914346</v>
      </c>
      <c r="S22" s="4">
        <f>-Calc!S67</f>
        <v>-135285.65866758066</v>
      </c>
      <c r="T22" s="4">
        <f>-Calc!T67</f>
        <v>-167585.59605021492</v>
      </c>
    </row>
    <row r="23" spans="3:20" outlineLevel="1" x14ac:dyDescent="0.2">
      <c r="D23" s="90" t="s">
        <v>349</v>
      </c>
      <c r="E23" s="8"/>
      <c r="P23" s="4">
        <f>Calc!P68</f>
        <v>6875.7412654378568</v>
      </c>
      <c r="Q23" s="4">
        <f>Calc!Q68</f>
        <v>8103.0270304605365</v>
      </c>
      <c r="R23" s="4">
        <f>Calc!R68</f>
        <v>5727.5084041654482</v>
      </c>
      <c r="S23" s="4">
        <f>Calc!S68</f>
        <v>7120.2978246095299</v>
      </c>
      <c r="T23" s="4">
        <f>Calc!T68</f>
        <v>8820.2945289586787</v>
      </c>
    </row>
    <row r="24" spans="3:20" ht="15" outlineLevel="1" x14ac:dyDescent="0.25">
      <c r="D24" s="92" t="s">
        <v>333</v>
      </c>
      <c r="E24" s="8" t="str">
        <f t="shared" si="1"/>
        <v>₦`m</v>
      </c>
      <c r="P24" s="48">
        <f>SUM(P15:P23)</f>
        <v>610746.21286698314</v>
      </c>
      <c r="Q24" s="48">
        <f t="shared" ref="Q24:T24" si="3">SUM(Q15:Q23)</f>
        <v>679196.83417595213</v>
      </c>
      <c r="R24" s="48">
        <f t="shared" si="3"/>
        <v>535421.96355936886</v>
      </c>
      <c r="S24" s="48">
        <f t="shared" si="3"/>
        <v>695844.96586309758</v>
      </c>
      <c r="T24" s="48">
        <f t="shared" si="3"/>
        <v>740888.64235704066</v>
      </c>
    </row>
    <row r="25" spans="3:20" outlineLevel="1" x14ac:dyDescent="0.2"/>
    <row r="26" spans="3:20" ht="15" x14ac:dyDescent="0.25">
      <c r="C26" s="46" t="s">
        <v>335</v>
      </c>
    </row>
    <row r="27" spans="3:20" outlineLevel="1" x14ac:dyDescent="0.2">
      <c r="D27" s="90" t="s">
        <v>126</v>
      </c>
      <c r="E27" s="8" t="str">
        <f t="shared" ref="E27:E33" si="4">Currency</f>
        <v>₦`m</v>
      </c>
      <c r="P27" s="4">
        <f>-Calc!P78</f>
        <v>-150203</v>
      </c>
      <c r="Q27" s="4">
        <f>-Calc!Q78</f>
        <v>-433639.55933100003</v>
      </c>
      <c r="R27" s="4">
        <f>-Calc!R78</f>
        <v>-199039.23897261664</v>
      </c>
      <c r="S27" s="4">
        <f>-Calc!S78</f>
        <v>-82579.881568282493</v>
      </c>
      <c r="T27" s="4">
        <f>-Calc!T78</f>
        <v>-331219.98969278723</v>
      </c>
    </row>
    <row r="28" spans="3:20" outlineLevel="1" x14ac:dyDescent="0.2">
      <c r="D28" s="90" t="s">
        <v>127</v>
      </c>
      <c r="E28" s="8" t="str">
        <f t="shared" si="4"/>
        <v>₦`m</v>
      </c>
      <c r="P28" s="4">
        <f>-Calc!P84</f>
        <v>-72125</v>
      </c>
      <c r="Q28" s="4">
        <f>-Calc!Q84</f>
        <v>-50324.963129999989</v>
      </c>
      <c r="R28" s="4">
        <f>-Calc!R84</f>
        <v>-87449.092598772011</v>
      </c>
      <c r="S28" s="4">
        <f>-Calc!S84</f>
        <v>-77890.743255273104</v>
      </c>
      <c r="T28" s="4">
        <f>-Calc!T84</f>
        <v>-99471.216323314744</v>
      </c>
    </row>
    <row r="29" spans="3:20" outlineLevel="1" x14ac:dyDescent="0.2">
      <c r="D29" s="90" t="s">
        <v>128</v>
      </c>
      <c r="E29" s="8" t="str">
        <f t="shared" si="4"/>
        <v>₦`m</v>
      </c>
      <c r="P29" s="4">
        <f>-Calc!P90</f>
        <v>-36699</v>
      </c>
      <c r="Q29" s="4">
        <f>-Calc!Q90</f>
        <v>-34199.921340000001</v>
      </c>
      <c r="R29" s="4">
        <f>-Calc!R90</f>
        <v>-41808.668920559998</v>
      </c>
      <c r="S29" s="4">
        <f>-Calc!S90</f>
        <v>-45366.778256545302</v>
      </c>
      <c r="T29" s="4">
        <f>-Calc!T90</f>
        <v>-54092.677369182791</v>
      </c>
    </row>
    <row r="30" spans="3:20" outlineLevel="1" x14ac:dyDescent="0.2">
      <c r="D30" s="90" t="s">
        <v>130</v>
      </c>
      <c r="E30" s="8" t="str">
        <f t="shared" si="4"/>
        <v>₦`m</v>
      </c>
      <c r="P30" s="4">
        <f>-Calc!P96</f>
        <v>515.38262009847858</v>
      </c>
      <c r="Q30" s="4">
        <f>-Calc!Q96</f>
        <v>-1595.278960892445</v>
      </c>
      <c r="R30" s="4">
        <f>-Calc!R96</f>
        <v>-2584.9436815882245</v>
      </c>
      <c r="S30" s="4">
        <f>-Calc!S96</f>
        <v>-1918.0682347413967</v>
      </c>
      <c r="T30" s="4">
        <f>-Calc!T96</f>
        <v>-1669.7165815189237</v>
      </c>
    </row>
    <row r="31" spans="3:20" outlineLevel="1" x14ac:dyDescent="0.2">
      <c r="D31" s="90" t="s">
        <v>207</v>
      </c>
      <c r="E31" s="8" t="str">
        <f t="shared" si="4"/>
        <v>₦`m</v>
      </c>
      <c r="P31" s="4">
        <f>-(Calc!P102-Calc!O102)</f>
        <v>-17.263000000006286</v>
      </c>
      <c r="Q31" s="4">
        <f>-(Calc!Q102-Calc!P102)</f>
        <v>-1726.4726300000038</v>
      </c>
      <c r="R31" s="4">
        <f>-(Calc!R102-Calc!Q102)</f>
        <v>8718.6867815000005</v>
      </c>
      <c r="S31" s="4">
        <f>-(Calc!S102-Calc!R102)</f>
        <v>-1656.5504884849943</v>
      </c>
      <c r="T31" s="4">
        <f>-(Calc!T102-Calc!S102)</f>
        <v>836.55799668491818</v>
      </c>
    </row>
    <row r="32" spans="3:20" outlineLevel="1" x14ac:dyDescent="0.2">
      <c r="D32" s="90" t="s">
        <v>137</v>
      </c>
      <c r="E32" s="8" t="str">
        <f t="shared" ref="E32:E44" si="5">Currency</f>
        <v>₦`m</v>
      </c>
      <c r="P32" s="4">
        <f>BS!O25-BS!P25</f>
        <v>-7126.6000000000058</v>
      </c>
      <c r="Q32" s="4">
        <f>BS!P25-BS!Q25</f>
        <v>-715.44289247732377</v>
      </c>
      <c r="R32" s="4">
        <f>BS!Q25-BS!R25</f>
        <v>32624.702048141611</v>
      </c>
      <c r="S32" s="4">
        <f>BS!R25-BS!S25</f>
        <v>-7551.9965334707231</v>
      </c>
      <c r="T32" s="4">
        <f>BS!S25-BS!T25</f>
        <v>-9120.0800694522186</v>
      </c>
    </row>
    <row r="33" spans="3:20" ht="15" outlineLevel="1" x14ac:dyDescent="0.25">
      <c r="D33" s="90" t="s">
        <v>336</v>
      </c>
      <c r="E33" s="8" t="str">
        <f t="shared" si="4"/>
        <v>₦`m</v>
      </c>
      <c r="P33" s="48">
        <f>SUM(P27:P32)</f>
        <v>-265655.48037990154</v>
      </c>
      <c r="Q33" s="48">
        <f t="shared" ref="Q33:T33" si="6">SUM(Q27:Q32)</f>
        <v>-522201.63828436978</v>
      </c>
      <c r="R33" s="48">
        <f t="shared" si="6"/>
        <v>-289538.55534389522</v>
      </c>
      <c r="S33" s="48">
        <f t="shared" si="6"/>
        <v>-216964.01833679801</v>
      </c>
      <c r="T33" s="48">
        <f t="shared" si="6"/>
        <v>-494737.12203957106</v>
      </c>
    </row>
    <row r="34" spans="3:20" outlineLevel="1" x14ac:dyDescent="0.2"/>
    <row r="35" spans="3:20" ht="15" x14ac:dyDescent="0.25">
      <c r="C35" s="46" t="s">
        <v>337</v>
      </c>
    </row>
    <row r="36" spans="3:20" outlineLevel="1" x14ac:dyDescent="0.2">
      <c r="D36" s="90" t="str">
        <f>BS!D31</f>
        <v>Share capital</v>
      </c>
      <c r="E36" s="8" t="str">
        <f t="shared" si="5"/>
        <v>₦`m</v>
      </c>
      <c r="P36" s="4">
        <f>Calc!P130</f>
        <v>0</v>
      </c>
      <c r="Q36" s="4">
        <f>Calc!Q130</f>
        <v>0</v>
      </c>
      <c r="R36" s="4">
        <f>Calc!R130</f>
        <v>0</v>
      </c>
      <c r="S36" s="4">
        <f>Calc!S130</f>
        <v>0</v>
      </c>
      <c r="T36" s="4">
        <f>Calc!T130</f>
        <v>0</v>
      </c>
    </row>
    <row r="37" spans="3:20" outlineLevel="1" x14ac:dyDescent="0.2">
      <c r="D37" s="90" t="str">
        <f>BS!D32</f>
        <v>Share premium</v>
      </c>
      <c r="E37" s="8" t="str">
        <f t="shared" si="5"/>
        <v>₦`m</v>
      </c>
      <c r="P37" s="4">
        <f>Calc!P135</f>
        <v>0</v>
      </c>
      <c r="Q37" s="4">
        <f>Calc!Q135</f>
        <v>0</v>
      </c>
      <c r="R37" s="4">
        <f>Calc!R135</f>
        <v>0</v>
      </c>
      <c r="S37" s="4">
        <f>Calc!S135</f>
        <v>0</v>
      </c>
      <c r="T37" s="4">
        <f>Calc!T135</f>
        <v>0</v>
      </c>
    </row>
    <row r="38" spans="3:20" outlineLevel="1" x14ac:dyDescent="0.2">
      <c r="D38" s="90" t="str">
        <f>BS!D33</f>
        <v>Other reserves</v>
      </c>
      <c r="E38" s="8" t="str">
        <f t="shared" si="5"/>
        <v>₦`m</v>
      </c>
      <c r="P38" s="4">
        <f>Calc!P140</f>
        <v>0</v>
      </c>
      <c r="Q38" s="4">
        <f>Calc!Q140</f>
        <v>0</v>
      </c>
      <c r="R38" s="4">
        <f>Calc!R140</f>
        <v>0</v>
      </c>
      <c r="S38" s="4">
        <f>Calc!S140</f>
        <v>0</v>
      </c>
      <c r="T38" s="4">
        <f>Calc!T140</f>
        <v>0</v>
      </c>
    </row>
    <row r="39" spans="3:20" outlineLevel="1" x14ac:dyDescent="0.2">
      <c r="D39" s="90" t="s">
        <v>338</v>
      </c>
      <c r="E39" s="8" t="str">
        <f t="shared" si="5"/>
        <v>₦`m</v>
      </c>
      <c r="P39" s="4">
        <f>-(Calc!P151-Calc!P145)</f>
        <v>-238985.51180209819</v>
      </c>
      <c r="Q39" s="4">
        <f>-(Calc!Q151-Calc!Q145)</f>
        <v>-281825.17986769142</v>
      </c>
      <c r="R39" s="4">
        <f>-(Calc!R151-Calc!R145)</f>
        <v>-199627.29764568899</v>
      </c>
      <c r="S39" s="4">
        <f>-(Calc!S151-Calc!S145)</f>
        <v>-247604.60527704295</v>
      </c>
      <c r="T39" s="4">
        <f>-(Calc!T151-Calc!T145)</f>
        <v>-306724.40003784449</v>
      </c>
    </row>
    <row r="40" spans="3:20" outlineLevel="1" x14ac:dyDescent="0.2">
      <c r="D40" s="90" t="s">
        <v>341</v>
      </c>
      <c r="E40" s="8" t="str">
        <f t="shared" si="5"/>
        <v>₦`m</v>
      </c>
      <c r="P40" s="4">
        <f>Calc!P175</f>
        <v>97519</v>
      </c>
      <c r="Q40" s="4">
        <f>Calc!Q175</f>
        <v>161597.02496126731</v>
      </c>
      <c r="R40" s="4">
        <f>Calc!R175</f>
        <v>244004.05420305301</v>
      </c>
      <c r="S40" s="4">
        <f>Calc!S175</f>
        <v>168469.38906150631</v>
      </c>
      <c r="T40" s="4">
        <f>Calc!T175</f>
        <v>431522.22438965482</v>
      </c>
    </row>
    <row r="41" spans="3:20" outlineLevel="1" x14ac:dyDescent="0.2">
      <c r="D41" s="90" t="s">
        <v>340</v>
      </c>
      <c r="E41" s="8" t="str">
        <f t="shared" si="5"/>
        <v>₦`m</v>
      </c>
      <c r="P41" s="4">
        <f>-Calc!P176</f>
        <v>-186108.16666666666</v>
      </c>
      <c r="Q41" s="4">
        <f>-Calc!Q176</f>
        <v>-135821.66666666666</v>
      </c>
      <c r="R41" s="4">
        <f>-Calc!R176</f>
        <v>-205461.67914730031</v>
      </c>
      <c r="S41" s="4">
        <f>-Calc!S176</f>
        <v>-272229.20624882681</v>
      </c>
      <c r="T41" s="4">
        <f>-Calc!T176</f>
        <v>-275665.38829894632</v>
      </c>
    </row>
    <row r="42" spans="3:20" outlineLevel="1" x14ac:dyDescent="0.2">
      <c r="D42" s="90" t="s">
        <v>343</v>
      </c>
      <c r="E42" s="8" t="str">
        <f t="shared" si="5"/>
        <v>₦`m</v>
      </c>
      <c r="P42" s="4">
        <f>Calc!P158</f>
        <v>30344.670444069896</v>
      </c>
      <c r="Q42" s="4">
        <f>Calc!Q158</f>
        <v>94904.549733119784</v>
      </c>
      <c r="R42" s="4">
        <f>Calc!R158</f>
        <v>37602.42433652177</v>
      </c>
      <c r="S42" s="4">
        <f>Calc!S158</f>
        <v>9925.0023598707048</v>
      </c>
      <c r="T42" s="4">
        <f>Calc!T158</f>
        <v>126894.71503675054</v>
      </c>
    </row>
    <row r="43" spans="3:20" outlineLevel="1" x14ac:dyDescent="0.2">
      <c r="D43" s="90" t="s">
        <v>342</v>
      </c>
      <c r="E43" s="8" t="str">
        <f t="shared" si="5"/>
        <v>₦`m</v>
      </c>
      <c r="P43" s="4">
        <f>-Calc!P159</f>
        <v>-44283.51</v>
      </c>
      <c r="Q43" s="4">
        <f>-Calc!Q159</f>
        <v>-43321.730070640828</v>
      </c>
      <c r="R43" s="4">
        <f>-Calc!R159</f>
        <v>-46880.944627351877</v>
      </c>
      <c r="S43" s="4">
        <f>-Calc!S159</f>
        <v>-46240.7267272846</v>
      </c>
      <c r="T43" s="4">
        <f>-Calc!T159</f>
        <v>-43734.941745933043</v>
      </c>
    </row>
    <row r="44" spans="3:20" ht="15" outlineLevel="1" x14ac:dyDescent="0.25">
      <c r="D44" s="46" t="s">
        <v>339</v>
      </c>
      <c r="E44" s="8" t="str">
        <f t="shared" si="5"/>
        <v>₦`m</v>
      </c>
      <c r="P44" s="48">
        <f>SUM(P36:P43)</f>
        <v>-341513.51802469499</v>
      </c>
      <c r="Q44" s="48">
        <f t="shared" ref="Q44:T44" si="7">SUM(Q36:Q43)</f>
        <v>-204467.00191061181</v>
      </c>
      <c r="R44" s="48">
        <f t="shared" si="7"/>
        <v>-170363.44288076641</v>
      </c>
      <c r="S44" s="48">
        <f t="shared" si="7"/>
        <v>-387680.14683177735</v>
      </c>
      <c r="T44" s="48">
        <f t="shared" si="7"/>
        <v>-67707.790656318495</v>
      </c>
    </row>
    <row r="45" spans="3:20" outlineLevel="1" x14ac:dyDescent="0.2"/>
    <row r="46" spans="3:20" ht="15" x14ac:dyDescent="0.25">
      <c r="C46" s="46" t="s">
        <v>344</v>
      </c>
    </row>
    <row r="47" spans="3:20" outlineLevel="1" x14ac:dyDescent="0.2">
      <c r="D47" s="90" t="s">
        <v>347</v>
      </c>
      <c r="E47" s="8" t="str">
        <f t="shared" ref="E47:E49" si="8">Currency</f>
        <v>₦`m</v>
      </c>
      <c r="P47" s="4">
        <f>O49</f>
        <v>275198</v>
      </c>
      <c r="Q47" s="4">
        <f t="shared" ref="Q47:T47" si="9">P49</f>
        <v>278775.21446238662</v>
      </c>
      <c r="R47" s="4">
        <f t="shared" si="9"/>
        <v>231303.40844335716</v>
      </c>
      <c r="S47" s="4">
        <f t="shared" si="9"/>
        <v>306823.37377806439</v>
      </c>
      <c r="T47" s="4">
        <f t="shared" si="9"/>
        <v>398024.1744725866</v>
      </c>
    </row>
    <row r="48" spans="3:20" outlineLevel="1" x14ac:dyDescent="0.2">
      <c r="D48" s="90" t="s">
        <v>345</v>
      </c>
      <c r="E48" s="8" t="str">
        <f t="shared" si="8"/>
        <v>₦`m</v>
      </c>
      <c r="P48" s="4">
        <f>P24+P33+P44</f>
        <v>3577.2144623866188</v>
      </c>
      <c r="Q48" s="4">
        <f>Q24+Q33+Q44</f>
        <v>-47471.806019029464</v>
      </c>
      <c r="R48" s="4">
        <f>R24+R33+R44</f>
        <v>75519.965334707231</v>
      </c>
      <c r="S48" s="4">
        <f>S24+S33+S44</f>
        <v>91200.800694522215</v>
      </c>
      <c r="T48" s="4">
        <f>T24+T33+T44</f>
        <v>178443.72966115113</v>
      </c>
    </row>
    <row r="49" spans="4:20" ht="15" outlineLevel="1" x14ac:dyDescent="0.25">
      <c r="D49" s="90" t="s">
        <v>346</v>
      </c>
      <c r="E49" s="8" t="str">
        <f t="shared" si="8"/>
        <v>₦`m</v>
      </c>
      <c r="O49" s="74">
        <f>BS!O26</f>
        <v>275198</v>
      </c>
      <c r="P49" s="48">
        <f>P47+P48</f>
        <v>278775.21446238662</v>
      </c>
      <c r="Q49" s="48">
        <f t="shared" ref="Q49:T49" si="10">Q47+Q48</f>
        <v>231303.40844335716</v>
      </c>
      <c r="R49" s="48">
        <f t="shared" si="10"/>
        <v>306823.37377806439</v>
      </c>
      <c r="S49" s="48">
        <f t="shared" si="10"/>
        <v>398024.1744725866</v>
      </c>
      <c r="T49" s="48">
        <f t="shared" si="10"/>
        <v>576467.90413373779</v>
      </c>
    </row>
    <row r="50" spans="4:20" outlineLevel="1" x14ac:dyDescent="0.2"/>
    <row r="51" spans="4:20" outlineLevel="1" x14ac:dyDescent="0.2"/>
    <row r="52" spans="4:20" outlineLevel="1" x14ac:dyDescent="0.2"/>
    <row r="53" spans="4:20" outlineLevel="1" x14ac:dyDescent="0.2"/>
  </sheetData>
  <pageMargins left="0.7" right="0.7" top="0.75" bottom="0.75" header="0.3" footer="0.3"/>
  <pageSetup paperSize="9" scale="75" fitToHeight="0" orientation="landscape" r:id="rId1"/>
  <headerFooter>
    <oddFooter>&amp;LPrinted on: &amp;D at &amp;T&amp;C&amp;A&amp;R&amp;P of &amp;N</oddFooter>
  </headerFooter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6" r:id="rId5" name="Drop Down 6">
              <controlPr defaultSize="0" autoLine="0" autoPict="0">
                <anchor moveWithCells="1">
                  <from>
                    <xdr:col>17</xdr:col>
                    <xdr:colOff>180975</xdr:colOff>
                    <xdr:row>2</xdr:row>
                    <xdr:rowOff>19050</xdr:rowOff>
                  </from>
                  <to>
                    <xdr:col>18</xdr:col>
                    <xdr:colOff>666750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3DD0E-B823-4F8C-B299-CD113583C3BF}">
  <sheetPr codeName="Sheet15">
    <tabColor theme="8" tint="-0.249977111117893"/>
    <pageSetUpPr fitToPage="1"/>
  </sheetPr>
  <dimension ref="B1:T70"/>
  <sheetViews>
    <sheetView showGridLines="0" workbookViewId="0">
      <pane ySplit="7" topLeftCell="A8" activePane="bottomLeft" state="frozen"/>
      <selection activeCell="D6" sqref="D6"/>
      <selection pane="bottomLeft" activeCell="A8" sqref="A8"/>
    </sheetView>
  </sheetViews>
  <sheetFormatPr defaultColWidth="8.75" defaultRowHeight="14.25" outlineLevelRow="2" x14ac:dyDescent="0.2"/>
  <cols>
    <col min="1" max="3" width="3.625" style="4" customWidth="1"/>
    <col min="4" max="4" width="21.625" style="4" customWidth="1"/>
    <col min="5" max="5" width="5.5" style="4" customWidth="1"/>
    <col min="6" max="6" width="9.25" style="4" customWidth="1"/>
    <col min="7" max="7" width="6.625" style="4" bestFit="1" customWidth="1"/>
    <col min="8" max="8" width="1.875" style="4" customWidth="1"/>
    <col min="9" max="9" width="12.875" style="4" customWidth="1"/>
    <col min="10" max="10" width="14" style="4" bestFit="1" customWidth="1"/>
    <col min="11" max="12" width="2.75" style="4" customWidth="1"/>
    <col min="13" max="13" width="6.25" style="4" bestFit="1" customWidth="1"/>
    <col min="14" max="16384" width="8.75" style="4"/>
  </cols>
  <sheetData>
    <row r="1" spans="2:20" ht="5.45" customHeight="1" x14ac:dyDescent="0.2"/>
    <row r="2" spans="2:20" ht="20.25" x14ac:dyDescent="0.3">
      <c r="B2" s="20" t="str">
        <f>Menu!$F$7</f>
        <v>MTN Nigeria Communications Plc.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spans="2:20" ht="18" x14ac:dyDescent="0.25">
      <c r="C3" s="40" t="s">
        <v>433</v>
      </c>
    </row>
    <row r="4" spans="2:20" ht="15" x14ac:dyDescent="0.25">
      <c r="D4" s="96" t="str">
        <f>Scenario</f>
        <v>Live Scenario: Base case</v>
      </c>
    </row>
    <row r="5" spans="2:20" ht="15.75" x14ac:dyDescent="0.25">
      <c r="D5" s="107" t="str">
        <f>Balanced</f>
        <v>Model Balance Check: OK</v>
      </c>
      <c r="M5" s="50" t="s">
        <v>90</v>
      </c>
      <c r="N5" s="42" t="s">
        <v>90</v>
      </c>
      <c r="O5" s="42" t="s">
        <v>90</v>
      </c>
      <c r="P5" s="42" t="s">
        <v>91</v>
      </c>
      <c r="Q5" s="42" t="s">
        <v>91</v>
      </c>
      <c r="R5" s="42" t="s">
        <v>91</v>
      </c>
      <c r="S5" s="42" t="s">
        <v>91</v>
      </c>
      <c r="T5" s="42" t="s">
        <v>91</v>
      </c>
    </row>
    <row r="6" spans="2:20" x14ac:dyDescent="0.2">
      <c r="D6" s="4" t="s">
        <v>85</v>
      </c>
      <c r="M6" s="51">
        <f>N6-1</f>
        <v>2018</v>
      </c>
      <c r="N6" s="38">
        <f>O6-1</f>
        <v>2019</v>
      </c>
      <c r="O6" s="38">
        <f>Menu!$F$14</f>
        <v>2020</v>
      </c>
      <c r="P6" s="37">
        <f>O6+1</f>
        <v>2021</v>
      </c>
      <c r="Q6" s="37">
        <f t="shared" ref="Q6:T6" si="0">P6+1</f>
        <v>2022</v>
      </c>
      <c r="R6" s="37">
        <f t="shared" si="0"/>
        <v>2023</v>
      </c>
      <c r="S6" s="37">
        <f t="shared" si="0"/>
        <v>2024</v>
      </c>
      <c r="T6" s="37">
        <f t="shared" si="0"/>
        <v>2025</v>
      </c>
    </row>
    <row r="7" spans="2:20" ht="25.5" x14ac:dyDescent="0.2">
      <c r="D7" s="8" t="s">
        <v>81</v>
      </c>
      <c r="E7" s="8" t="s">
        <v>82</v>
      </c>
      <c r="F7" s="8" t="s">
        <v>83</v>
      </c>
      <c r="G7" s="8" t="s">
        <v>84</v>
      </c>
      <c r="I7" s="45" t="s">
        <v>118</v>
      </c>
      <c r="J7" s="45" t="s">
        <v>119</v>
      </c>
    </row>
    <row r="9" spans="2:20" ht="19.5" x14ac:dyDescent="0.3">
      <c r="B9" s="2" t="s">
        <v>367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ht="15.75" outlineLevel="1" x14ac:dyDescent="0.25">
      <c r="C10" s="3" t="s">
        <v>368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2:20" ht="15" customHeight="1" outlineLevel="2" x14ac:dyDescent="0.2">
      <c r="D11" s="4" t="s">
        <v>369</v>
      </c>
      <c r="E11" s="8" t="s">
        <v>213</v>
      </c>
      <c r="J11" s="102">
        <f>AVERAGE(P11:T11)</f>
        <v>0.10756379999999988</v>
      </c>
      <c r="N11" s="56">
        <f>'P&amp;L'!N13/'P&amp;L'!M13-1</f>
        <v>0.12579246428275548</v>
      </c>
      <c r="O11" s="56">
        <f>'P&amp;L'!O13/'P&amp;L'!N13-1</f>
        <v>0.15092692876150493</v>
      </c>
      <c r="P11" s="52">
        <f>'P&amp;L'!P13/'P&amp;L'!O13-1</f>
        <v>0.10765299999999978</v>
      </c>
      <c r="Q11" s="52">
        <f>'P&amp;L'!Q13/'P&amp;L'!P13-1</f>
        <v>0.13897099999999996</v>
      </c>
      <c r="R11" s="52">
        <f>'P&amp;L'!R13/'P&amp;L'!Q13-1</f>
        <v>0.12725000000000009</v>
      </c>
      <c r="S11" s="52">
        <f>'P&amp;L'!S13/'P&amp;L'!R13-1</f>
        <v>0.10344499999999979</v>
      </c>
      <c r="T11" s="52">
        <f>'P&amp;L'!T13/'P&amp;L'!S13-1</f>
        <v>6.0499999999999776E-2</v>
      </c>
    </row>
    <row r="12" spans="2:20" ht="15" customHeight="1" outlineLevel="2" x14ac:dyDescent="0.2">
      <c r="E12" s="8"/>
      <c r="J12" s="103"/>
    </row>
    <row r="13" spans="2:20" ht="15" customHeight="1" outlineLevel="2" x14ac:dyDescent="0.2">
      <c r="D13" s="4" t="s">
        <v>370</v>
      </c>
      <c r="E13" s="8" t="s">
        <v>213</v>
      </c>
      <c r="J13" s="102">
        <f>AVERAGE(P13:T13)</f>
        <v>0.41960000000000008</v>
      </c>
      <c r="N13" s="56">
        <f t="shared" ref="N13:T13" si="1">N14/N15</f>
        <v>0.37890601291981491</v>
      </c>
      <c r="O13" s="56">
        <f t="shared" si="1"/>
        <v>0.39638886206819718</v>
      </c>
      <c r="P13" s="52">
        <f t="shared" si="1"/>
        <v>0.38900000000000007</v>
      </c>
      <c r="Q13" s="52">
        <f t="shared" si="1"/>
        <v>0.39300000000000002</v>
      </c>
      <c r="R13" s="52">
        <f t="shared" si="1"/>
        <v>0.438</v>
      </c>
      <c r="S13" s="52">
        <f t="shared" si="1"/>
        <v>0.439</v>
      </c>
      <c r="T13" s="52">
        <f t="shared" si="1"/>
        <v>0.43900000000000011</v>
      </c>
    </row>
    <row r="14" spans="2:20" ht="15" customHeight="1" outlineLevel="2" x14ac:dyDescent="0.2">
      <c r="D14" s="100" t="s">
        <v>371</v>
      </c>
      <c r="E14" s="8" t="str">
        <f>Currency</f>
        <v>₦`m</v>
      </c>
      <c r="J14" s="103"/>
      <c r="N14" s="93">
        <f>'P&amp;L'!N14</f>
        <v>443256</v>
      </c>
      <c r="O14" s="93">
        <f>'P&amp;L'!O14</f>
        <v>533694</v>
      </c>
      <c r="P14" s="93">
        <f>'P&amp;L'!P14</f>
        <v>580128.50691862998</v>
      </c>
      <c r="Q14" s="93">
        <f>'P&amp;L'!Q14</f>
        <v>667543.88545468426</v>
      </c>
      <c r="R14" s="93">
        <f>'P&amp;L'!R14</f>
        <v>838651.68971224246</v>
      </c>
      <c r="S14" s="93">
        <f>'P&amp;L'!S14</f>
        <v>927518.81287268631</v>
      </c>
      <c r="T14" s="93">
        <f>'P&amp;L'!T14</f>
        <v>983633.70105148386</v>
      </c>
    </row>
    <row r="15" spans="2:20" ht="15" customHeight="1" outlineLevel="2" x14ac:dyDescent="0.2">
      <c r="D15" s="100" t="s">
        <v>372</v>
      </c>
      <c r="E15" s="8" t="str">
        <f>Currency</f>
        <v>₦`m</v>
      </c>
      <c r="J15" s="103"/>
      <c r="N15" s="93">
        <f>'P&amp;L'!N$13</f>
        <v>1169831</v>
      </c>
      <c r="O15" s="93">
        <f>'P&amp;L'!O$13</f>
        <v>1346390</v>
      </c>
      <c r="P15" s="93">
        <f>'P&amp;L'!P$13</f>
        <v>1491332.9226699998</v>
      </c>
      <c r="Q15" s="93">
        <f>'P&amp;L'!Q$13</f>
        <v>1698584.9502663722</v>
      </c>
      <c r="R15" s="93">
        <f>'P&amp;L'!R$13</f>
        <v>1914729.8851877681</v>
      </c>
      <c r="S15" s="93">
        <f>'P&amp;L'!S$13</f>
        <v>2112799.1181610166</v>
      </c>
      <c r="T15" s="93">
        <f>'P&amp;L'!T$13</f>
        <v>2240623.4648097577</v>
      </c>
    </row>
    <row r="16" spans="2:20" ht="15" customHeight="1" outlineLevel="2" x14ac:dyDescent="0.2">
      <c r="D16" s="101"/>
      <c r="E16" s="8"/>
      <c r="J16" s="103"/>
    </row>
    <row r="17" spans="4:20" ht="15" customHeight="1" outlineLevel="2" x14ac:dyDescent="0.2">
      <c r="D17" s="4" t="s">
        <v>373</v>
      </c>
      <c r="E17" s="8" t="s">
        <v>213</v>
      </c>
      <c r="J17" s="102">
        <f>AVERAGE(P17:T17)</f>
        <v>0.1288</v>
      </c>
      <c r="N17" s="56">
        <f t="shared" ref="N17" si="2">N18/N19</f>
        <v>8.6802281697099831E-2</v>
      </c>
      <c r="O17" s="56">
        <f t="shared" ref="O17" si="3">O18/O19</f>
        <v>9.4370873223954432E-2</v>
      </c>
      <c r="P17" s="52">
        <f t="shared" ref="P17" si="4">P18/P19</f>
        <v>9.0999999999999998E-2</v>
      </c>
      <c r="Q17" s="52">
        <f t="shared" ref="Q17" si="5">Q18/Q19</f>
        <v>9.2999999999999999E-2</v>
      </c>
      <c r="R17" s="52">
        <f t="shared" ref="R17" si="6">R18/R19</f>
        <v>0.152</v>
      </c>
      <c r="S17" s="52">
        <f t="shared" ref="S17" si="7">S18/S19</f>
        <v>0.154</v>
      </c>
      <c r="T17" s="52">
        <f t="shared" ref="T17" si="8">T18/T19</f>
        <v>0.15400000000000005</v>
      </c>
    </row>
    <row r="18" spans="4:20" ht="15" customHeight="1" outlineLevel="2" x14ac:dyDescent="0.2">
      <c r="D18" s="100" t="s">
        <v>184</v>
      </c>
      <c r="E18" s="8" t="str">
        <f>Currency</f>
        <v>₦`m</v>
      </c>
      <c r="J18" s="103"/>
      <c r="N18" s="93">
        <f>'P&amp;L'!N16</f>
        <v>101544</v>
      </c>
      <c r="O18" s="93">
        <f>'P&amp;L'!O16</f>
        <v>127060</v>
      </c>
      <c r="P18" s="93">
        <f>'P&amp;L'!P16</f>
        <v>135711.29596296998</v>
      </c>
      <c r="Q18" s="93">
        <f>'P&amp;L'!Q16</f>
        <v>157968.40037477261</v>
      </c>
      <c r="R18" s="93">
        <f>'P&amp;L'!R16</f>
        <v>291038.94254854077</v>
      </c>
      <c r="S18" s="93">
        <f>'P&amp;L'!S16</f>
        <v>325371.06419679656</v>
      </c>
      <c r="T18" s="93">
        <f>'P&amp;L'!T16</f>
        <v>345056.01358070283</v>
      </c>
    </row>
    <row r="19" spans="4:20" ht="15" customHeight="1" outlineLevel="2" x14ac:dyDescent="0.2">
      <c r="D19" s="100" t="s">
        <v>372</v>
      </c>
      <c r="E19" s="8" t="str">
        <f>Currency</f>
        <v>₦`m</v>
      </c>
      <c r="J19" s="103"/>
      <c r="N19" s="93">
        <f>'P&amp;L'!N$13</f>
        <v>1169831</v>
      </c>
      <c r="O19" s="93">
        <f>'P&amp;L'!O$13</f>
        <v>1346390</v>
      </c>
      <c r="P19" s="93">
        <f>'P&amp;L'!P$13</f>
        <v>1491332.9226699998</v>
      </c>
      <c r="Q19" s="93">
        <f>'P&amp;L'!Q$13</f>
        <v>1698584.9502663722</v>
      </c>
      <c r="R19" s="93">
        <f>'P&amp;L'!R$13</f>
        <v>1914729.8851877681</v>
      </c>
      <c r="S19" s="93">
        <f>'P&amp;L'!S$13</f>
        <v>2112799.1181610166</v>
      </c>
      <c r="T19" s="93">
        <f>'P&amp;L'!T$13</f>
        <v>2240623.4648097577</v>
      </c>
    </row>
    <row r="20" spans="4:20" ht="15" customHeight="1" outlineLevel="2" x14ac:dyDescent="0.2">
      <c r="E20" s="8"/>
      <c r="J20" s="103"/>
    </row>
    <row r="21" spans="4:20" ht="15" customHeight="1" outlineLevel="2" x14ac:dyDescent="0.2">
      <c r="D21" s="4" t="s">
        <v>374</v>
      </c>
      <c r="E21" s="8" t="s">
        <v>213</v>
      </c>
      <c r="J21" s="102">
        <f>AVERAGE(P21:T21)</f>
        <v>0.45159999999999983</v>
      </c>
      <c r="N21" s="56">
        <f t="shared" ref="N21" si="9">N22/N23</f>
        <v>0.53429170538308524</v>
      </c>
      <c r="O21" s="56">
        <f t="shared" ref="O21" si="10">O22/O23</f>
        <v>0.50924026470784844</v>
      </c>
      <c r="P21" s="52">
        <f t="shared" ref="P21" si="11">P22/P23</f>
        <v>0.51999999999999991</v>
      </c>
      <c r="Q21" s="52">
        <f t="shared" ref="Q21" si="12">Q22/Q23</f>
        <v>0.51400000000000001</v>
      </c>
      <c r="R21" s="52">
        <f t="shared" ref="R21" si="13">R22/R23</f>
        <v>0.41</v>
      </c>
      <c r="S21" s="52">
        <f t="shared" ref="S21" si="14">S22/S23</f>
        <v>0.40699999999999992</v>
      </c>
      <c r="T21" s="52">
        <f t="shared" ref="T21" si="15">T22/T23</f>
        <v>0.40699999999999981</v>
      </c>
    </row>
    <row r="22" spans="4:20" ht="15" customHeight="1" outlineLevel="2" x14ac:dyDescent="0.2">
      <c r="D22" s="100" t="s">
        <v>188</v>
      </c>
      <c r="E22" s="8" t="str">
        <f>Currency</f>
        <v>₦`m</v>
      </c>
      <c r="J22" s="103"/>
      <c r="N22" s="93">
        <f>'P&amp;L'!N17</f>
        <v>625031</v>
      </c>
      <c r="O22" s="93">
        <f>'P&amp;L'!O17</f>
        <v>685636</v>
      </c>
      <c r="P22" s="93">
        <f>'P&amp;L'!P17</f>
        <v>775493.11978839978</v>
      </c>
      <c r="Q22" s="93">
        <f>'P&amp;L'!Q17</f>
        <v>873072.66443691531</v>
      </c>
      <c r="R22" s="93">
        <f>'P&amp;L'!R17</f>
        <v>785039.25292698492</v>
      </c>
      <c r="S22" s="93">
        <f>'P&amp;L'!S17</f>
        <v>859909.24109153356</v>
      </c>
      <c r="T22" s="93">
        <f>'P&amp;L'!T17</f>
        <v>911933.75017757097</v>
      </c>
    </row>
    <row r="23" spans="4:20" ht="15" customHeight="1" outlineLevel="2" x14ac:dyDescent="0.2">
      <c r="D23" s="100" t="s">
        <v>372</v>
      </c>
      <c r="E23" s="8" t="str">
        <f>Currency</f>
        <v>₦`m</v>
      </c>
      <c r="J23" s="103"/>
      <c r="N23" s="93">
        <f>'P&amp;L'!N$13</f>
        <v>1169831</v>
      </c>
      <c r="O23" s="93">
        <f>'P&amp;L'!O$13</f>
        <v>1346390</v>
      </c>
      <c r="P23" s="93">
        <f>'P&amp;L'!P$13</f>
        <v>1491332.9226699998</v>
      </c>
      <c r="Q23" s="93">
        <f>'P&amp;L'!Q$13</f>
        <v>1698584.9502663722</v>
      </c>
      <c r="R23" s="93">
        <f>'P&amp;L'!R$13</f>
        <v>1914729.8851877681</v>
      </c>
      <c r="S23" s="93">
        <f>'P&amp;L'!S$13</f>
        <v>2112799.1181610166</v>
      </c>
      <c r="T23" s="93">
        <f>'P&amp;L'!T$13</f>
        <v>2240623.4648097577</v>
      </c>
    </row>
    <row r="24" spans="4:20" ht="15" customHeight="1" outlineLevel="2" x14ac:dyDescent="0.2">
      <c r="E24" s="8"/>
      <c r="J24" s="103"/>
    </row>
    <row r="25" spans="4:20" ht="15" customHeight="1" outlineLevel="2" x14ac:dyDescent="0.2">
      <c r="D25" s="4" t="s">
        <v>375</v>
      </c>
      <c r="E25" s="8" t="s">
        <v>213</v>
      </c>
      <c r="J25" s="102">
        <f>AVERAGE(P25:T25)</f>
        <v>0.17120578718290025</v>
      </c>
      <c r="N25" s="56">
        <f t="shared" ref="N25" si="16">N26/N27</f>
        <v>0.17377125413841829</v>
      </c>
      <c r="O25" s="56">
        <f t="shared" ref="O25" si="17">O26/O27</f>
        <v>0.15241794725153932</v>
      </c>
      <c r="P25" s="52">
        <f t="shared" ref="P25" si="18">P26/P27</f>
        <v>0.20055531565082371</v>
      </c>
      <c r="Q25" s="52">
        <f t="shared" ref="Q25" si="19">Q26/Q27</f>
        <v>0.20751489395320344</v>
      </c>
      <c r="R25" s="52">
        <f t="shared" ref="R25" si="20">R26/R27</f>
        <v>0.13012102516839563</v>
      </c>
      <c r="S25" s="52">
        <f t="shared" ref="S25" si="21">S26/S27</f>
        <v>0.14659839296038027</v>
      </c>
      <c r="T25" s="52">
        <f t="shared" ref="T25" si="22">T26/T27</f>
        <v>0.17123930818169822</v>
      </c>
    </row>
    <row r="26" spans="4:20" ht="15" customHeight="1" outlineLevel="2" x14ac:dyDescent="0.2">
      <c r="D26" s="100" t="s">
        <v>376</v>
      </c>
      <c r="E26" s="8" t="str">
        <f>Currency</f>
        <v>₦`m</v>
      </c>
      <c r="J26" s="103"/>
      <c r="N26" s="93">
        <f>'P&amp;L'!N29</f>
        <v>203283</v>
      </c>
      <c r="O26" s="93">
        <f>'P&amp;L'!O29</f>
        <v>205214</v>
      </c>
      <c r="P26" s="93">
        <f>'P&amp;L'!P29</f>
        <v>299094.74504654726</v>
      </c>
      <c r="Q26" s="93">
        <f>'P&amp;L'!Q29</f>
        <v>352481.67582503357</v>
      </c>
      <c r="R26" s="93">
        <f>'P&amp;L'!R29</f>
        <v>249146.61558119685</v>
      </c>
      <c r="S26" s="93">
        <f>'P&amp;L'!S29</f>
        <v>309732.95537051361</v>
      </c>
      <c r="T26" s="93">
        <f>'P&amp;L'!T29</f>
        <v>383682.81200970255</v>
      </c>
    </row>
    <row r="27" spans="4:20" ht="15" customHeight="1" outlineLevel="2" x14ac:dyDescent="0.2">
      <c r="D27" s="100" t="s">
        <v>372</v>
      </c>
      <c r="E27" s="8" t="str">
        <f>Currency</f>
        <v>₦`m</v>
      </c>
      <c r="J27" s="103"/>
      <c r="N27" s="93">
        <f>'P&amp;L'!N$13</f>
        <v>1169831</v>
      </c>
      <c r="O27" s="93">
        <f>'P&amp;L'!O$13</f>
        <v>1346390</v>
      </c>
      <c r="P27" s="93">
        <f>'P&amp;L'!P$13</f>
        <v>1491332.9226699998</v>
      </c>
      <c r="Q27" s="93">
        <f>'P&amp;L'!Q$13</f>
        <v>1698584.9502663722</v>
      </c>
      <c r="R27" s="93">
        <f>'P&amp;L'!R$13</f>
        <v>1914729.8851877681</v>
      </c>
      <c r="S27" s="93">
        <f>'P&amp;L'!S$13</f>
        <v>2112799.1181610166</v>
      </c>
      <c r="T27" s="93">
        <f>'P&amp;L'!T$13</f>
        <v>2240623.4648097577</v>
      </c>
    </row>
    <row r="28" spans="4:20" ht="15" customHeight="1" outlineLevel="2" x14ac:dyDescent="0.2">
      <c r="E28" s="8"/>
      <c r="J28" s="103"/>
    </row>
    <row r="29" spans="4:20" ht="15" customHeight="1" outlineLevel="2" x14ac:dyDescent="0.2">
      <c r="D29" s="4" t="s">
        <v>377</v>
      </c>
      <c r="E29" s="8" t="s">
        <v>213</v>
      </c>
      <c r="J29" s="102">
        <f>AVERAGE(P29:T29)</f>
        <v>0.18580307358514489</v>
      </c>
      <c r="N29" s="56">
        <f t="shared" ref="N29" si="23">N30/N31</f>
        <v>9.9397263365392091E-2</v>
      </c>
      <c r="O29" s="56">
        <f t="shared" ref="O29" si="24">O30/O31</f>
        <v>0.20439694293629632</v>
      </c>
      <c r="P29" s="52">
        <f t="shared" ref="P29" si="25">P30/P31</f>
        <v>0.18693023551259294</v>
      </c>
      <c r="Q29" s="52">
        <f t="shared" ref="Q29" si="26">Q30/Q31</f>
        <v>0.13617417745699686</v>
      </c>
      <c r="R29" s="52">
        <f t="shared" ref="R29" si="27">R30/R31</f>
        <v>0.16024368562460481</v>
      </c>
      <c r="S29" s="52">
        <f t="shared" ref="S29" si="28">S30/S31</f>
        <v>0.18838713583855876</v>
      </c>
      <c r="T29" s="52">
        <f t="shared" ref="T29" si="29">T30/T31</f>
        <v>0.25728013349297107</v>
      </c>
    </row>
    <row r="30" spans="4:20" ht="15" customHeight="1" outlineLevel="2" x14ac:dyDescent="0.2">
      <c r="D30" s="100" t="s">
        <v>378</v>
      </c>
      <c r="E30" s="8" t="str">
        <f>Currency</f>
        <v>₦`m</v>
      </c>
      <c r="J30" s="103"/>
      <c r="N30" s="93">
        <f>BS!N26</f>
        <v>116278</v>
      </c>
      <c r="O30" s="93">
        <f>BS!O26</f>
        <v>275198</v>
      </c>
      <c r="P30" s="93">
        <f>BS!P26</f>
        <v>278775.21446238662</v>
      </c>
      <c r="Q30" s="93">
        <f>BS!Q26</f>
        <v>231303.40844335716</v>
      </c>
      <c r="R30" s="93">
        <f>BS!R26</f>
        <v>306823.37377806439</v>
      </c>
      <c r="S30" s="93">
        <f>BS!S26</f>
        <v>398024.1744725866</v>
      </c>
      <c r="T30" s="93">
        <f>BS!T26</f>
        <v>576467.90413373779</v>
      </c>
    </row>
    <row r="31" spans="4:20" ht="15" customHeight="1" outlineLevel="2" x14ac:dyDescent="0.2">
      <c r="D31" s="100" t="s">
        <v>372</v>
      </c>
      <c r="E31" s="8" t="str">
        <f>Currency</f>
        <v>₦`m</v>
      </c>
      <c r="J31" s="103"/>
      <c r="N31" s="93">
        <f>'P&amp;L'!N$13</f>
        <v>1169831</v>
      </c>
      <c r="O31" s="93">
        <f>'P&amp;L'!O$13</f>
        <v>1346390</v>
      </c>
      <c r="P31" s="93">
        <f>'P&amp;L'!P$13</f>
        <v>1491332.9226699998</v>
      </c>
      <c r="Q31" s="93">
        <f>'P&amp;L'!Q$13</f>
        <v>1698584.9502663722</v>
      </c>
      <c r="R31" s="93">
        <f>'P&amp;L'!R$13</f>
        <v>1914729.8851877681</v>
      </c>
      <c r="S31" s="93">
        <f>'P&amp;L'!S$13</f>
        <v>2112799.1181610166</v>
      </c>
      <c r="T31" s="93">
        <f>'P&amp;L'!T$13</f>
        <v>2240623.4648097577</v>
      </c>
    </row>
    <row r="32" spans="4:20" ht="15" customHeight="1" outlineLevel="2" x14ac:dyDescent="0.2">
      <c r="E32" s="8"/>
      <c r="J32" s="103"/>
    </row>
    <row r="33" spans="2:20" ht="15" customHeight="1" outlineLevel="2" x14ac:dyDescent="0.2">
      <c r="D33" s="4" t="s">
        <v>379</v>
      </c>
      <c r="E33" s="8" t="s">
        <v>213</v>
      </c>
      <c r="J33" s="102">
        <f>AVERAGE(P33:T33)</f>
        <v>1.2976088201981022</v>
      </c>
      <c r="N33" s="56"/>
      <c r="O33" s="56"/>
      <c r="P33" s="52">
        <f t="shared" ref="P33" si="30">P34/P35</f>
        <v>1.2697469152498821</v>
      </c>
      <c r="Q33" s="52">
        <f t="shared" ref="Q33" si="31">Q34/Q35</f>
        <v>1.2854486659911872</v>
      </c>
      <c r="R33" s="52">
        <f t="shared" ref="R33" si="32">R34/R35</f>
        <v>1.4662066675565839</v>
      </c>
      <c r="S33" s="52">
        <f t="shared" ref="S33" si="33">S34/S35</f>
        <v>1.2357770527590688</v>
      </c>
      <c r="T33" s="52">
        <f t="shared" ref="T33" si="34">T34/T35</f>
        <v>1.2308647994337889</v>
      </c>
    </row>
    <row r="34" spans="2:20" ht="15" customHeight="1" outlineLevel="2" x14ac:dyDescent="0.2">
      <c r="D34" s="100" t="s">
        <v>188</v>
      </c>
      <c r="E34" s="8" t="str">
        <f>Currency</f>
        <v>₦`m</v>
      </c>
      <c r="J34" s="103"/>
      <c r="N34" s="93"/>
      <c r="O34" s="93"/>
      <c r="P34" s="93">
        <f>'P&amp;L'!P17</f>
        <v>775493.11978839978</v>
      </c>
      <c r="Q34" s="93">
        <f>'P&amp;L'!Q17</f>
        <v>873072.66443691531</v>
      </c>
      <c r="R34" s="93">
        <f>'P&amp;L'!R17</f>
        <v>785039.25292698492</v>
      </c>
      <c r="S34" s="93">
        <f>'P&amp;L'!S17</f>
        <v>859909.24109153356</v>
      </c>
      <c r="T34" s="93">
        <f>'P&amp;L'!T17</f>
        <v>911933.75017757097</v>
      </c>
    </row>
    <row r="35" spans="2:20" ht="15" customHeight="1" outlineLevel="2" x14ac:dyDescent="0.2">
      <c r="D35" s="100" t="s">
        <v>333</v>
      </c>
      <c r="E35" s="8" t="str">
        <f>Currency</f>
        <v>₦`m</v>
      </c>
      <c r="J35" s="103"/>
      <c r="N35" s="93"/>
      <c r="O35" s="93"/>
      <c r="P35" s="93">
        <f>CF!P$24</f>
        <v>610746.21286698314</v>
      </c>
      <c r="Q35" s="93">
        <f>CF!Q$24</f>
        <v>679196.83417595213</v>
      </c>
      <c r="R35" s="93">
        <f>CF!R$24</f>
        <v>535421.96355936886</v>
      </c>
      <c r="S35" s="93">
        <f>CF!S$24</f>
        <v>695844.96586309758</v>
      </c>
      <c r="T35" s="93">
        <f>CF!T$24</f>
        <v>740888.64235704066</v>
      </c>
    </row>
    <row r="36" spans="2:20" ht="15" customHeight="1" outlineLevel="2" x14ac:dyDescent="0.2">
      <c r="E36" s="8"/>
      <c r="J36" s="103"/>
    </row>
    <row r="37" spans="2:20" ht="15" customHeight="1" outlineLevel="2" x14ac:dyDescent="0.2">
      <c r="D37" s="4" t="s">
        <v>380</v>
      </c>
      <c r="E37" s="8" t="s">
        <v>213</v>
      </c>
      <c r="J37" s="102">
        <f>AVERAGE(P37:T37)</f>
        <v>0.48740046163289269</v>
      </c>
      <c r="P37" s="52">
        <f t="shared" ref="P37" si="35">P38/P39</f>
        <v>0.48972017958576897</v>
      </c>
      <c r="Q37" s="52">
        <f t="shared" ref="Q37" si="36">Q38/Q39</f>
        <v>0.51896837277324526</v>
      </c>
      <c r="R37" s="52">
        <f t="shared" ref="R37" si="37">R38/R39</f>
        <v>0.46532759680780422</v>
      </c>
      <c r="S37" s="52">
        <f t="shared" ref="S37" si="38">S38/S39</f>
        <v>0.4451177641076034</v>
      </c>
      <c r="T37" s="52">
        <f t="shared" ref="T37" si="39">T38/T39</f>
        <v>0.51786839489004133</v>
      </c>
    </row>
    <row r="38" spans="2:20" ht="15" customHeight="1" outlineLevel="2" x14ac:dyDescent="0.2">
      <c r="D38" s="100" t="s">
        <v>376</v>
      </c>
      <c r="E38" s="8" t="str">
        <f>Currency</f>
        <v>₦`m</v>
      </c>
      <c r="J38" s="103"/>
      <c r="P38" s="93">
        <f>'P&amp;L'!P29</f>
        <v>299094.74504654726</v>
      </c>
      <c r="Q38" s="93">
        <f>'P&amp;L'!Q29</f>
        <v>352481.67582503357</v>
      </c>
      <c r="R38" s="93">
        <f>'P&amp;L'!R29</f>
        <v>249146.61558119685</v>
      </c>
      <c r="S38" s="93">
        <f>'P&amp;L'!S29</f>
        <v>309732.95537051361</v>
      </c>
      <c r="T38" s="93">
        <f>'P&amp;L'!T29</f>
        <v>383682.81200970255</v>
      </c>
    </row>
    <row r="39" spans="2:20" ht="15" customHeight="1" outlineLevel="2" x14ac:dyDescent="0.2">
      <c r="D39" s="100" t="s">
        <v>333</v>
      </c>
      <c r="E39" s="8" t="str">
        <f>Currency</f>
        <v>₦`m</v>
      </c>
      <c r="J39" s="103"/>
      <c r="P39" s="93">
        <f>CF!P$24</f>
        <v>610746.21286698314</v>
      </c>
      <c r="Q39" s="93">
        <f>CF!Q$24</f>
        <v>679196.83417595213</v>
      </c>
      <c r="R39" s="93">
        <f>CF!R$24</f>
        <v>535421.96355936886</v>
      </c>
      <c r="S39" s="93">
        <f>CF!S$24</f>
        <v>695844.96586309758</v>
      </c>
      <c r="T39" s="93">
        <f>CF!T$24</f>
        <v>740888.64235704066</v>
      </c>
    </row>
    <row r="40" spans="2:20" ht="15" customHeight="1" outlineLevel="2" x14ac:dyDescent="0.2"/>
    <row r="41" spans="2:20" outlineLevel="2" x14ac:dyDescent="0.2"/>
    <row r="42" spans="2:20" ht="19.5" x14ac:dyDescent="0.3">
      <c r="B42" s="2" t="s">
        <v>381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ht="15.75" outlineLevel="1" x14ac:dyDescent="0.25">
      <c r="C43" s="3" t="s">
        <v>382</v>
      </c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</row>
    <row r="44" spans="2:20" outlineLevel="2" x14ac:dyDescent="0.2">
      <c r="D44" s="4" t="s">
        <v>383</v>
      </c>
      <c r="E44" s="8" t="s">
        <v>213</v>
      </c>
      <c r="J44" s="102">
        <f>AVERAGE(P44:T44)</f>
        <v>0.21968669277707686</v>
      </c>
      <c r="N44" s="56">
        <f>N45/AVERAGE(M46:N46)</f>
        <v>0.19351586715305119</v>
      </c>
      <c r="O44" s="56">
        <f t="shared" ref="O44:T44" si="40">O45/AVERAGE(N46:O46)</f>
        <v>0.17159810318429902</v>
      </c>
      <c r="P44" s="52">
        <f t="shared" si="40"/>
        <v>0.2265918252996969</v>
      </c>
      <c r="Q44" s="52">
        <f t="shared" si="40"/>
        <v>0.2568089799895229</v>
      </c>
      <c r="R44" s="52">
        <f t="shared" si="40"/>
        <v>0.1676605586619575</v>
      </c>
      <c r="S44" s="52">
        <f t="shared" si="40"/>
        <v>0.20836388989875065</v>
      </c>
      <c r="T44" s="52">
        <f t="shared" si="40"/>
        <v>0.2390082100354563</v>
      </c>
    </row>
    <row r="45" spans="2:20" outlineLevel="2" x14ac:dyDescent="0.2">
      <c r="D45" s="100" t="s">
        <v>376</v>
      </c>
      <c r="E45" s="8" t="str">
        <f>Currency</f>
        <v>₦`m</v>
      </c>
      <c r="N45" s="93">
        <f>'P&amp;L'!N29</f>
        <v>203283</v>
      </c>
      <c r="O45" s="93">
        <f>'P&amp;L'!O29</f>
        <v>205214</v>
      </c>
      <c r="P45" s="93">
        <f>'P&amp;L'!P29</f>
        <v>299094.74504654726</v>
      </c>
      <c r="Q45" s="93">
        <f>'P&amp;L'!Q29</f>
        <v>352481.67582503357</v>
      </c>
      <c r="R45" s="93">
        <f>'P&amp;L'!R29</f>
        <v>249146.61558119685</v>
      </c>
      <c r="S45" s="93">
        <f>'P&amp;L'!S29</f>
        <v>309732.95537051361</v>
      </c>
      <c r="T45" s="93">
        <f>'P&amp;L'!T29</f>
        <v>383682.81200970255</v>
      </c>
    </row>
    <row r="46" spans="2:20" outlineLevel="2" x14ac:dyDescent="0.2">
      <c r="D46" s="100" t="s">
        <v>389</v>
      </c>
      <c r="E46" s="8" t="str">
        <f>Currency</f>
        <v>₦`m</v>
      </c>
      <c r="N46" s="93">
        <f>BS!N38+BS!N39+BS!N35</f>
        <v>1050472</v>
      </c>
      <c r="O46" s="93">
        <f>BS!O38+BS!O39+BS!O35</f>
        <v>1341326</v>
      </c>
      <c r="P46" s="93">
        <f>BS!P38+BS!P39+BS!P35</f>
        <v>1298616.9427867127</v>
      </c>
      <c r="Q46" s="93">
        <f>BS!Q38+BS!Q39+BS!Q35</f>
        <v>1446471.4559087991</v>
      </c>
      <c r="R46" s="93">
        <f>BS!R38+BS!R39+BS!R35</f>
        <v>1525564.633789961</v>
      </c>
      <c r="S46" s="93">
        <f>BS!S38+BS!S39+BS!S35</f>
        <v>1447435.6833093292</v>
      </c>
      <c r="T46" s="93">
        <f>BS!T38+BS!T39+BS!T35</f>
        <v>1763188.8550927958</v>
      </c>
    </row>
    <row r="47" spans="2:20" outlineLevel="2" x14ac:dyDescent="0.2"/>
    <row r="48" spans="2:20" outlineLevel="2" x14ac:dyDescent="0.2">
      <c r="D48" s="4" t="s">
        <v>384</v>
      </c>
      <c r="E48" s="8" t="s">
        <v>213</v>
      </c>
      <c r="J48" s="102">
        <f>AVERAGE(P48:T48)</f>
        <v>1.0206229949701005</v>
      </c>
      <c r="N48" s="56">
        <f>N49/AVERAGE(M50:N50)</f>
        <v>1.3937143914930377</v>
      </c>
      <c r="O48" s="56">
        <f t="shared" ref="O48" si="41">O49/AVERAGE(N50:O50)</f>
        <v>1.2658037336195385</v>
      </c>
      <c r="P48" s="52">
        <f t="shared" ref="P48" si="42">P49/AVERAGE(O50:P50)</f>
        <v>1.4359157142411345</v>
      </c>
      <c r="Q48" s="52">
        <f t="shared" ref="Q48" si="43">Q49/AVERAGE(P50:Q50)</f>
        <v>1.2890022253839872</v>
      </c>
      <c r="R48" s="52">
        <f t="shared" ref="R48" si="44">R49/AVERAGE(Q50:R50)</f>
        <v>0.74680667626425623</v>
      </c>
      <c r="S48" s="52">
        <f t="shared" ref="S48" si="45">S49/AVERAGE(R50:S50)</f>
        <v>0.79519859267649085</v>
      </c>
      <c r="T48" s="52">
        <f t="shared" ref="T48" si="46">T49/AVERAGE(S50:T50)</f>
        <v>0.83619176628463343</v>
      </c>
    </row>
    <row r="49" spans="2:20" outlineLevel="2" x14ac:dyDescent="0.2">
      <c r="D49" s="100" t="s">
        <v>376</v>
      </c>
      <c r="E49" s="8" t="str">
        <f>Currency</f>
        <v>₦`m</v>
      </c>
      <c r="N49" s="93">
        <f>'P&amp;L'!N29</f>
        <v>203283</v>
      </c>
      <c r="O49" s="93">
        <f>'P&amp;L'!O29</f>
        <v>205214</v>
      </c>
      <c r="P49" s="93">
        <f>'P&amp;L'!P29</f>
        <v>299094.74504654726</v>
      </c>
      <c r="Q49" s="93">
        <f>'P&amp;L'!Q29</f>
        <v>352481.67582503357</v>
      </c>
      <c r="R49" s="93">
        <f>'P&amp;L'!R29</f>
        <v>249146.61558119685</v>
      </c>
      <c r="S49" s="93">
        <f>'P&amp;L'!S29</f>
        <v>309732.95537051361</v>
      </c>
      <c r="T49" s="93">
        <f>'P&amp;L'!T29</f>
        <v>383682.81200970255</v>
      </c>
    </row>
    <row r="50" spans="2:20" outlineLevel="2" x14ac:dyDescent="0.2">
      <c r="D50" s="100" t="s">
        <v>385</v>
      </c>
      <c r="E50" s="8" t="str">
        <f>Currency</f>
        <v>₦`m</v>
      </c>
      <c r="N50" s="93">
        <f>BS!N35</f>
        <v>145857</v>
      </c>
      <c r="O50" s="93">
        <f>BS!O35</f>
        <v>178386</v>
      </c>
      <c r="P50" s="93">
        <f>BS!P35</f>
        <v>238204.94900930944</v>
      </c>
      <c r="Q50" s="93">
        <f>BS!Q35</f>
        <v>308701.2841743161</v>
      </c>
      <c r="R50" s="93">
        <f>BS!R35</f>
        <v>358530.60729055549</v>
      </c>
      <c r="S50" s="93">
        <f>BS!S35</f>
        <v>420477.19836465816</v>
      </c>
      <c r="T50" s="93">
        <f>BS!T35</f>
        <v>497213.76076659869</v>
      </c>
    </row>
    <row r="51" spans="2:20" outlineLevel="2" x14ac:dyDescent="0.2"/>
    <row r="52" spans="2:20" outlineLevel="2" x14ac:dyDescent="0.2">
      <c r="D52" s="4" t="s">
        <v>386</v>
      </c>
      <c r="E52" s="8" t="s">
        <v>213</v>
      </c>
      <c r="J52" s="102">
        <f>AVERAGE(P52:T52)</f>
        <v>0.14329188391709449</v>
      </c>
      <c r="N52" s="56">
        <f>N53/AVERAGE(M54:N54)</f>
        <v>0.13531604897346239</v>
      </c>
      <c r="O52" s="56">
        <f t="shared" ref="O52" si="47">O53/AVERAGE(N54:O54)</f>
        <v>0.11842140949949594</v>
      </c>
      <c r="P52" s="52">
        <f t="shared" ref="P52" si="48">P53/AVERAGE(O54:P54)</f>
        <v>0.15092842108304605</v>
      </c>
      <c r="Q52" s="52">
        <f t="shared" ref="Q52" si="49">Q53/AVERAGE(P54:Q54)</f>
        <v>0.16711567600357058</v>
      </c>
      <c r="R52" s="52">
        <f t="shared" ref="R52" si="50">R53/AVERAGE(Q54:R54)</f>
        <v>0.11018773520075777</v>
      </c>
      <c r="S52" s="52">
        <f t="shared" ref="S52" si="51">S53/AVERAGE(R54:S54)</f>
        <v>0.13452277826257145</v>
      </c>
      <c r="T52" s="52">
        <f t="shared" ref="T52" si="52">T53/AVERAGE(S54:T54)</f>
        <v>0.15370480903552663</v>
      </c>
    </row>
    <row r="53" spans="2:20" outlineLevel="2" x14ac:dyDescent="0.2">
      <c r="D53" s="100" t="s">
        <v>376</v>
      </c>
      <c r="E53" s="8" t="str">
        <f>Currency</f>
        <v>₦`m</v>
      </c>
      <c r="N53" s="93">
        <f>'P&amp;L'!N29</f>
        <v>203283</v>
      </c>
      <c r="O53" s="93">
        <f>'P&amp;L'!O29</f>
        <v>205214</v>
      </c>
      <c r="P53" s="93">
        <f>'P&amp;L'!P29</f>
        <v>299094.74504654726</v>
      </c>
      <c r="Q53" s="93">
        <f>'P&amp;L'!Q29</f>
        <v>352481.67582503357</v>
      </c>
      <c r="R53" s="93">
        <f>'P&amp;L'!R29</f>
        <v>249146.61558119685</v>
      </c>
      <c r="S53" s="93">
        <f>'P&amp;L'!S29</f>
        <v>309732.95537051361</v>
      </c>
      <c r="T53" s="93">
        <f>'P&amp;L'!T29</f>
        <v>383682.81200970255</v>
      </c>
    </row>
    <row r="54" spans="2:20" outlineLevel="2" x14ac:dyDescent="0.2">
      <c r="D54" s="100" t="s">
        <v>387</v>
      </c>
      <c r="E54" s="8" t="str">
        <f>Currency</f>
        <v>₦`m</v>
      </c>
      <c r="N54" s="93">
        <f>BS!N28</f>
        <v>1502283</v>
      </c>
      <c r="O54" s="93">
        <f>BS!O28</f>
        <v>1963543</v>
      </c>
      <c r="P54" s="93">
        <f>BS!P28</f>
        <v>1999855.581927455</v>
      </c>
      <c r="Q54" s="93">
        <f>BS!Q28</f>
        <v>2218559.8803958097</v>
      </c>
      <c r="R54" s="93">
        <f>BS!R28</f>
        <v>2303660.5850173589</v>
      </c>
      <c r="S54" s="93">
        <f>BS!S28</f>
        <v>2301254.0527989077</v>
      </c>
      <c r="T54" s="93">
        <f>BS!T28</f>
        <v>2691209.2854304104</v>
      </c>
    </row>
    <row r="55" spans="2:20" outlineLevel="2" x14ac:dyDescent="0.2"/>
    <row r="56" spans="2:20" outlineLevel="2" x14ac:dyDescent="0.2">
      <c r="D56" s="4" t="s">
        <v>388</v>
      </c>
      <c r="E56" s="8" t="s">
        <v>235</v>
      </c>
      <c r="J56" s="105">
        <f>AVERAGE(P56:T56)</f>
        <v>0.84398228733576697</v>
      </c>
      <c r="N56" s="104">
        <f>N57/AVERAGE(M58:N58)</f>
        <v>0.77870214866306819</v>
      </c>
      <c r="O56" s="104">
        <f t="shared" ref="O56" si="53">O57/AVERAGE(N58:O58)</f>
        <v>0.77695187236751062</v>
      </c>
      <c r="P56" s="87">
        <f t="shared" ref="P56" si="54">P57/AVERAGE(O58:P58)</f>
        <v>0.75255258427465255</v>
      </c>
      <c r="Q56" s="87">
        <f t="shared" ref="Q56" si="55">Q57/AVERAGE(P58:Q58)</f>
        <v>0.80531894757036926</v>
      </c>
      <c r="R56" s="87">
        <f t="shared" ref="R56" si="56">R57/AVERAGE(Q58:R58)</f>
        <v>0.84680961480405437</v>
      </c>
      <c r="S56" s="87">
        <f t="shared" ref="S56" si="57">S57/AVERAGE(R58:S58)</f>
        <v>0.9176279190108696</v>
      </c>
      <c r="T56" s="87">
        <f t="shared" ref="T56" si="58">T57/AVERAGE(S58:T58)</f>
        <v>0.8976023710188894</v>
      </c>
    </row>
    <row r="57" spans="2:20" outlineLevel="2" x14ac:dyDescent="0.2">
      <c r="D57" s="100" t="s">
        <v>372</v>
      </c>
      <c r="E57" s="8" t="str">
        <f>Currency</f>
        <v>₦`m</v>
      </c>
      <c r="N57" s="93">
        <f>'P&amp;L'!N13</f>
        <v>1169831</v>
      </c>
      <c r="O57" s="93">
        <f>'P&amp;L'!O13</f>
        <v>1346390</v>
      </c>
      <c r="P57" s="93">
        <f>'P&amp;L'!P13</f>
        <v>1491332.9226699998</v>
      </c>
      <c r="Q57" s="93">
        <f>'P&amp;L'!Q13</f>
        <v>1698584.9502663722</v>
      </c>
      <c r="R57" s="93">
        <f>'P&amp;L'!R13</f>
        <v>1914729.8851877681</v>
      </c>
      <c r="S57" s="93">
        <f>'P&amp;L'!S13</f>
        <v>2112799.1181610166</v>
      </c>
      <c r="T57" s="93">
        <f>'P&amp;L'!T13</f>
        <v>2240623.4648097577</v>
      </c>
    </row>
    <row r="58" spans="2:20" outlineLevel="2" x14ac:dyDescent="0.2">
      <c r="D58" s="100" t="s">
        <v>387</v>
      </c>
      <c r="E58" s="8" t="str">
        <f>Currency</f>
        <v>₦`m</v>
      </c>
      <c r="N58" s="93">
        <f>BS!N28</f>
        <v>1502283</v>
      </c>
      <c r="O58" s="93">
        <f>BS!O28</f>
        <v>1963543</v>
      </c>
      <c r="P58" s="93">
        <f>BS!P28</f>
        <v>1999855.581927455</v>
      </c>
      <c r="Q58" s="93">
        <f>BS!Q28</f>
        <v>2218559.8803958097</v>
      </c>
      <c r="R58" s="93">
        <f>BS!R28</f>
        <v>2303660.5850173589</v>
      </c>
      <c r="S58" s="93">
        <f>BS!S28</f>
        <v>2301254.0527989077</v>
      </c>
      <c r="T58" s="93">
        <f>BS!T28</f>
        <v>2691209.2854304104</v>
      </c>
    </row>
    <row r="59" spans="2:20" outlineLevel="2" x14ac:dyDescent="0.2"/>
    <row r="60" spans="2:20" ht="19.5" x14ac:dyDescent="0.3">
      <c r="B60" s="2" t="s">
        <v>390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ht="15.75" outlineLevel="1" x14ac:dyDescent="0.25">
      <c r="C61" s="3" t="s">
        <v>391</v>
      </c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</row>
    <row r="62" spans="2:20" outlineLevel="2" x14ac:dyDescent="0.2">
      <c r="D62" s="4" t="s">
        <v>392</v>
      </c>
      <c r="E62" s="8" t="s">
        <v>235</v>
      </c>
      <c r="J62" s="105">
        <f>AVERAGE(P62:T62)</f>
        <v>4.4003569228404587</v>
      </c>
      <c r="N62" s="104">
        <f>'P&amp;L'!N21/'P&amp;L'!N25</f>
        <v>3.3065791022687141</v>
      </c>
      <c r="O62" s="104">
        <f>'P&amp;L'!O21/'P&amp;L'!O25</f>
        <v>3.1911747105113553</v>
      </c>
      <c r="P62" s="87">
        <f>'P&amp;L'!P21/'P&amp;L'!P25</f>
        <v>3.9996794763934065</v>
      </c>
      <c r="Q62" s="87">
        <f>'P&amp;L'!Q21/'P&amp;L'!Q25</f>
        <v>4.7081967396397451</v>
      </c>
      <c r="R62" s="87">
        <f>'P&amp;L'!R21/'P&amp;L'!R25</f>
        <v>3.5400277375176556</v>
      </c>
      <c r="S62" s="87">
        <f>'P&amp;L'!S21/'P&amp;L'!S25</f>
        <v>4.3301009526460614</v>
      </c>
      <c r="T62" s="87">
        <f>'P&amp;L'!T21/'P&amp;L'!T25</f>
        <v>5.4237797080054282</v>
      </c>
    </row>
    <row r="63" spans="2:20" outlineLevel="2" x14ac:dyDescent="0.2">
      <c r="D63" s="4" t="s">
        <v>393</v>
      </c>
      <c r="E63" s="8" t="s">
        <v>235</v>
      </c>
      <c r="J63" s="105">
        <f>AVERAGE(P63:T63)</f>
        <v>0.99785183744009065</v>
      </c>
      <c r="N63" s="104"/>
      <c r="O63" s="104"/>
      <c r="P63" s="87">
        <f>CF!P24/BS!P54</f>
        <v>1.0699505749690512</v>
      </c>
      <c r="Q63" s="87">
        <f>CF!Q24/BS!Q54</f>
        <v>1.0749947443830721</v>
      </c>
      <c r="R63" s="87">
        <f>CF!R24/BS!R54</f>
        <v>0.85727505239042223</v>
      </c>
      <c r="S63" s="87">
        <f>CF!S24/BS!S54</f>
        <v>1.0064837824168282</v>
      </c>
      <c r="T63" s="87">
        <f>CF!T24/BS!T54</f>
        <v>0.98055503304107872</v>
      </c>
    </row>
    <row r="64" spans="2:20" outlineLevel="2" x14ac:dyDescent="0.2">
      <c r="D64" s="4" t="s">
        <v>394</v>
      </c>
      <c r="E64" s="8" t="s">
        <v>235</v>
      </c>
      <c r="J64" s="105">
        <f>AVERAGE(P64:T64)</f>
        <v>0.77651560923573049</v>
      </c>
      <c r="N64" s="104">
        <f>BS!N27/BS!N54</f>
        <v>0.66952061562597864</v>
      </c>
      <c r="O64" s="104">
        <f>BS!O27/BS!O54</f>
        <v>0.78214552916139302</v>
      </c>
      <c r="P64" s="87">
        <f>BS!P27/BS!P54</f>
        <v>0.71935369339945687</v>
      </c>
      <c r="Q64" s="87">
        <f>BS!Q27/BS!Q54</f>
        <v>0.59346309657669816</v>
      </c>
      <c r="R64" s="87">
        <f>BS!R27/BS!R54</f>
        <v>0.73204716437350947</v>
      </c>
      <c r="S64" s="87">
        <f>BS!S27/BS!S54</f>
        <v>0.82424556872134858</v>
      </c>
      <c r="T64" s="87">
        <f>BS!T27/BS!T54</f>
        <v>1.0134685231076392</v>
      </c>
    </row>
    <row r="65" spans="4:20" outlineLevel="2" x14ac:dyDescent="0.2">
      <c r="D65" s="4" t="s">
        <v>395</v>
      </c>
      <c r="E65" s="8" t="s">
        <v>235</v>
      </c>
      <c r="J65" s="105">
        <f>AVERAGE(P65:T65)</f>
        <v>0.53687819972886752</v>
      </c>
      <c r="N65" s="104">
        <f>BS!N26/BS!N54</f>
        <v>0.35353495428715631</v>
      </c>
      <c r="O65" s="104">
        <f>BS!O26/BS!O54</f>
        <v>0.55199346909957414</v>
      </c>
      <c r="P65" s="87">
        <f>BS!P26/BS!P54</f>
        <v>0.48837912494123603</v>
      </c>
      <c r="Q65" s="87">
        <f>BS!Q26/BS!Q54</f>
        <v>0.36609409220256317</v>
      </c>
      <c r="R65" s="87">
        <f>BS!R26/BS!R54</f>
        <v>0.49126117666450686</v>
      </c>
      <c r="S65" s="87">
        <f>BS!S26/BS!S54</f>
        <v>0.57570995878314746</v>
      </c>
      <c r="T65" s="87">
        <f>BS!T26/BS!T54</f>
        <v>0.76294664605288376</v>
      </c>
    </row>
    <row r="66" spans="4:20" outlineLevel="2" x14ac:dyDescent="0.2"/>
    <row r="67" spans="4:20" outlineLevel="2" x14ac:dyDescent="0.2"/>
    <row r="68" spans="4:20" outlineLevel="2" x14ac:dyDescent="0.2"/>
    <row r="69" spans="4:20" outlineLevel="1" x14ac:dyDescent="0.2"/>
    <row r="70" spans="4:20" outlineLevel="1" x14ac:dyDescent="0.2"/>
  </sheetData>
  <pageMargins left="0.7" right="0.7" top="0.75" bottom="0.75" header="0.3" footer="0.3"/>
  <pageSetup paperSize="9" scale="75" fitToHeight="0" orientation="landscape" r:id="rId1"/>
  <headerFooter>
    <oddFooter>&amp;LPrinted on: &amp;D at &amp;T&amp;C&amp;A&amp;R&amp;P of &amp;N</oddFooter>
  </headerFooter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5" name="Drop Down 1">
              <controlPr defaultSize="0" autoLine="0" autoPict="0">
                <anchor moveWithCells="1">
                  <from>
                    <xdr:col>17</xdr:col>
                    <xdr:colOff>171450</xdr:colOff>
                    <xdr:row>2</xdr:row>
                    <xdr:rowOff>19050</xdr:rowOff>
                  </from>
                  <to>
                    <xdr:col>18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059B2312-BAD0-41E5-A7E2-C85DA040EAA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Analysis!N65:T65</xm:f>
              <xm:sqref>I65</xm:sqref>
            </x14:sparkline>
          </x14:sparklines>
        </x14:sparklineGroup>
        <x14:sparklineGroup type="column" displayEmptyCellsAs="gap" xr2:uid="{69FDCE3A-5B07-4D60-BD3E-5DEF1AD6067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Analysis!N64:T64</xm:f>
              <xm:sqref>I64</xm:sqref>
            </x14:sparkline>
          </x14:sparklines>
        </x14:sparklineGroup>
        <x14:sparklineGroup type="column" displayEmptyCellsAs="gap" xr2:uid="{E7114A5E-489E-4A20-9D02-E01F3B12C72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Analysis!N63:T63</xm:f>
              <xm:sqref>I63</xm:sqref>
            </x14:sparkline>
          </x14:sparklines>
        </x14:sparklineGroup>
        <x14:sparklineGroup type="column" displayEmptyCellsAs="gap" xr2:uid="{C695CA24-6344-4FCA-B913-979E01A4A36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Analysis!N62:T62</xm:f>
              <xm:sqref>I62</xm:sqref>
            </x14:sparkline>
          </x14:sparklines>
        </x14:sparklineGroup>
        <x14:sparklineGroup type="column" displayEmptyCellsAs="gap" xr2:uid="{C8297CF4-2D02-469D-9F7E-1CFE5FEB6DB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Analysis!N56:T56</xm:f>
              <xm:sqref>I56</xm:sqref>
            </x14:sparkline>
          </x14:sparklines>
        </x14:sparklineGroup>
        <x14:sparklineGroup type="column" displayEmptyCellsAs="gap" xr2:uid="{B431B862-9EDF-4689-974D-BE0B5A31F72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Analysis!N52:T52</xm:f>
              <xm:sqref>I52</xm:sqref>
            </x14:sparkline>
          </x14:sparklines>
        </x14:sparklineGroup>
        <x14:sparklineGroup type="column" displayEmptyCellsAs="gap" xr2:uid="{8F0C74C0-673C-4A50-AE4E-75521645BA7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Analysis!N48:T48</xm:f>
              <xm:sqref>I48</xm:sqref>
            </x14:sparkline>
          </x14:sparklines>
        </x14:sparklineGroup>
        <x14:sparklineGroup type="column" displayEmptyCellsAs="gap" xr2:uid="{055BE649-BB9C-4034-9A90-A591F84CB20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Analysis!N44:T44</xm:f>
              <xm:sqref>I44</xm:sqref>
            </x14:sparkline>
          </x14:sparklines>
        </x14:sparklineGroup>
        <x14:sparklineGroup type="column" displayEmptyCellsAs="gap" xr2:uid="{6A41BAA8-F343-4CAE-AF84-B5AE805A523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Analysis!N11:T11</xm:f>
              <xm:sqref>I11</xm:sqref>
            </x14:sparkline>
            <x14:sparkline>
              <xm:f>Analysis!N12:T12</xm:f>
              <xm:sqref>I12</xm:sqref>
            </x14:sparkline>
            <x14:sparkline>
              <xm:f>Analysis!N13:T13</xm:f>
              <xm:sqref>I13</xm:sqref>
            </x14:sparkline>
            <x14:sparkline>
              <xm:f>Analysis!N14:T14</xm:f>
              <xm:sqref>I14</xm:sqref>
            </x14:sparkline>
            <x14:sparkline>
              <xm:f>Analysis!N15:T15</xm:f>
              <xm:sqref>I15</xm:sqref>
            </x14:sparkline>
            <x14:sparkline>
              <xm:f>Analysis!N16:T16</xm:f>
              <xm:sqref>I16</xm:sqref>
            </x14:sparkline>
            <x14:sparkline>
              <xm:f>Analysis!N17:T17</xm:f>
              <xm:sqref>I17</xm:sqref>
            </x14:sparkline>
            <x14:sparkline>
              <xm:f>Analysis!N18:T18</xm:f>
              <xm:sqref>I18</xm:sqref>
            </x14:sparkline>
            <x14:sparkline>
              <xm:f>Analysis!N19:T19</xm:f>
              <xm:sqref>I19</xm:sqref>
            </x14:sparkline>
            <x14:sparkline>
              <xm:f>Analysis!N20:T20</xm:f>
              <xm:sqref>I20</xm:sqref>
            </x14:sparkline>
            <x14:sparkline>
              <xm:f>Analysis!N21:T21</xm:f>
              <xm:sqref>I21</xm:sqref>
            </x14:sparkline>
            <x14:sparkline>
              <xm:f>Analysis!N22:T22</xm:f>
              <xm:sqref>I22</xm:sqref>
            </x14:sparkline>
            <x14:sparkline>
              <xm:f>Analysis!N23:T23</xm:f>
              <xm:sqref>I23</xm:sqref>
            </x14:sparkline>
            <x14:sparkline>
              <xm:f>Analysis!N24:T24</xm:f>
              <xm:sqref>I24</xm:sqref>
            </x14:sparkline>
            <x14:sparkline>
              <xm:f>Analysis!N25:T25</xm:f>
              <xm:sqref>I25</xm:sqref>
            </x14:sparkline>
            <x14:sparkline>
              <xm:f>Analysis!N26:T26</xm:f>
              <xm:sqref>I26</xm:sqref>
            </x14:sparkline>
            <x14:sparkline>
              <xm:f>Analysis!N27:T27</xm:f>
              <xm:sqref>I27</xm:sqref>
            </x14:sparkline>
            <x14:sparkline>
              <xm:f>Analysis!N28:T28</xm:f>
              <xm:sqref>I28</xm:sqref>
            </x14:sparkline>
            <x14:sparkline>
              <xm:f>Analysis!N29:T29</xm:f>
              <xm:sqref>I29</xm:sqref>
            </x14:sparkline>
            <x14:sparkline>
              <xm:f>Analysis!N30:T30</xm:f>
              <xm:sqref>I30</xm:sqref>
            </x14:sparkline>
            <x14:sparkline>
              <xm:f>Analysis!N31:T31</xm:f>
              <xm:sqref>I31</xm:sqref>
            </x14:sparkline>
            <x14:sparkline>
              <xm:f>Analysis!N32:T32</xm:f>
              <xm:sqref>I32</xm:sqref>
            </x14:sparkline>
            <x14:sparkline>
              <xm:f>Analysis!N33:T33</xm:f>
              <xm:sqref>I33</xm:sqref>
            </x14:sparkline>
            <x14:sparkline>
              <xm:f>Analysis!N34:T34</xm:f>
              <xm:sqref>I34</xm:sqref>
            </x14:sparkline>
            <x14:sparkline>
              <xm:f>Analysis!N35:T35</xm:f>
              <xm:sqref>I35</xm:sqref>
            </x14:sparkline>
            <x14:sparkline>
              <xm:f>Analysis!N36:T36</xm:f>
              <xm:sqref>I36</xm:sqref>
            </x14:sparkline>
            <x14:sparkline>
              <xm:f>Analysis!N37:T37</xm:f>
              <xm:sqref>I37</xm:sqref>
            </x14:sparkline>
            <x14:sparkline>
              <xm:f>Analysis!N38:T38</xm:f>
              <xm:sqref>I38</xm:sqref>
            </x14:sparkline>
            <x14:sparkline>
              <xm:f>Analysis!N39:T39</xm:f>
              <xm:sqref>I39</xm:sqref>
            </x14:sparkline>
          </x14:sparklines>
        </x14:sparklineGroup>
      </x14:sparklineGroup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4EA8C-1850-479A-A48F-06B32A877A23}">
  <sheetPr codeName="Sheet1">
    <tabColor theme="8" tint="-0.249977111117893"/>
    <pageSetUpPr fitToPage="1"/>
  </sheetPr>
  <dimension ref="B1:T16"/>
  <sheetViews>
    <sheetView showGridLines="0" workbookViewId="0">
      <pane ySplit="7" topLeftCell="A8" activePane="bottomLeft" state="frozen"/>
      <selection activeCell="D6" sqref="D6"/>
      <selection pane="bottomLeft" activeCell="A8" sqref="A8"/>
    </sheetView>
  </sheetViews>
  <sheetFormatPr defaultColWidth="8.75" defaultRowHeight="14.25" x14ac:dyDescent="0.2"/>
  <cols>
    <col min="1" max="3" width="3.625" style="4" customWidth="1"/>
    <col min="4" max="4" width="21.625" style="4" customWidth="1"/>
    <col min="5" max="5" width="5.5" style="4" customWidth="1"/>
    <col min="6" max="6" width="9.25" style="4" customWidth="1"/>
    <col min="7" max="7" width="8.75" style="4"/>
    <col min="8" max="8" width="1.875" style="4" customWidth="1"/>
    <col min="9" max="9" width="11.75" style="4" bestFit="1" customWidth="1"/>
    <col min="10" max="10" width="14" style="4" bestFit="1" customWidth="1"/>
    <col min="11" max="12" width="2.75" style="4" customWidth="1"/>
    <col min="13" max="13" width="6.25" style="4" bestFit="1" customWidth="1"/>
    <col min="14" max="16384" width="8.75" style="4"/>
  </cols>
  <sheetData>
    <row r="1" spans="2:20" ht="5.45" customHeight="1" x14ac:dyDescent="0.2"/>
    <row r="2" spans="2:20" ht="20.25" x14ac:dyDescent="0.3">
      <c r="B2" s="20" t="str">
        <f>Menu!$F$7</f>
        <v>MTN Nigeria Communications Plc.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spans="2:20" ht="18" x14ac:dyDescent="0.25">
      <c r="C3" s="40" t="s">
        <v>432</v>
      </c>
    </row>
    <row r="4" spans="2:20" ht="15" x14ac:dyDescent="0.25">
      <c r="D4" s="96" t="str">
        <f>Scenario</f>
        <v>Live Scenario: Base case</v>
      </c>
    </row>
    <row r="5" spans="2:20" ht="15.75" x14ac:dyDescent="0.25">
      <c r="D5" s="107" t="str">
        <f>Balanced</f>
        <v>Model Balance Check: OK</v>
      </c>
      <c r="M5" s="50" t="s">
        <v>90</v>
      </c>
      <c r="N5" s="42" t="s">
        <v>90</v>
      </c>
      <c r="O5" s="42" t="s">
        <v>90</v>
      </c>
      <c r="P5" s="42" t="s">
        <v>91</v>
      </c>
      <c r="Q5" s="42" t="s">
        <v>91</v>
      </c>
      <c r="R5" s="42" t="s">
        <v>91</v>
      </c>
      <c r="S5" s="42" t="s">
        <v>91</v>
      </c>
      <c r="T5" s="42" t="s">
        <v>91</v>
      </c>
    </row>
    <row r="6" spans="2:20" x14ac:dyDescent="0.2">
      <c r="D6" s="4" t="s">
        <v>85</v>
      </c>
      <c r="M6" s="51">
        <f>N6-1</f>
        <v>2018</v>
      </c>
      <c r="N6" s="38">
        <f>O6-1</f>
        <v>2019</v>
      </c>
      <c r="O6" s="38">
        <f>Menu!$F$14</f>
        <v>2020</v>
      </c>
      <c r="P6" s="37">
        <f>O6+1</f>
        <v>2021</v>
      </c>
      <c r="Q6" s="37">
        <f t="shared" ref="Q6:T6" si="0">P6+1</f>
        <v>2022</v>
      </c>
      <c r="R6" s="37">
        <f t="shared" si="0"/>
        <v>2023</v>
      </c>
      <c r="S6" s="37">
        <f t="shared" si="0"/>
        <v>2024</v>
      </c>
      <c r="T6" s="37">
        <f t="shared" si="0"/>
        <v>2025</v>
      </c>
    </row>
    <row r="7" spans="2:20" ht="25.5" x14ac:dyDescent="0.2">
      <c r="D7" s="8" t="s">
        <v>81</v>
      </c>
      <c r="E7" s="8" t="s">
        <v>82</v>
      </c>
      <c r="F7" s="8" t="s">
        <v>83</v>
      </c>
      <c r="G7" s="8" t="s">
        <v>84</v>
      </c>
      <c r="I7" s="45" t="s">
        <v>118</v>
      </c>
      <c r="J7" s="45" t="s">
        <v>119</v>
      </c>
    </row>
    <row r="9" spans="2:20" ht="19.5" x14ac:dyDescent="0.3">
      <c r="B9" s="2" t="s">
        <v>33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ht="15.75" x14ac:dyDescent="0.25">
      <c r="C10" s="3" t="s">
        <v>39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4" spans="2:20" x14ac:dyDescent="0.2">
      <c r="I14" s="121"/>
    </row>
    <row r="16" spans="2:20" x14ac:dyDescent="0.2">
      <c r="I16" s="121"/>
    </row>
  </sheetData>
  <pageMargins left="0.7" right="0.7" top="0.75" bottom="0.75" header="0.3" footer="0.3"/>
  <pageSetup paperSize="9" scale="75" fitToHeight="0" orientation="landscape" r:id="rId1"/>
  <headerFooter>
    <oddFooter>&amp;LPrinted on: &amp;D at &amp;T&amp;C&amp;A&amp;R&amp;P of &amp;N</oddFooter>
  </headerFooter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Drop Down 1">
              <controlPr defaultSize="0" autoLine="0" autoPict="0">
                <anchor moveWithCells="1">
                  <from>
                    <xdr:col>17</xdr:col>
                    <xdr:colOff>171450</xdr:colOff>
                    <xdr:row>2</xdr:row>
                    <xdr:rowOff>28575</xdr:rowOff>
                  </from>
                  <to>
                    <xdr:col>18</xdr:col>
                    <xdr:colOff>647700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ABC90-599C-4195-A30E-A2F75096D6A4}">
  <sheetPr codeName="Sheet16">
    <pageSetUpPr fitToPage="1"/>
  </sheetPr>
  <dimension ref="B1:T10"/>
  <sheetViews>
    <sheetView showGridLines="0" workbookViewId="0">
      <pane ySplit="7" topLeftCell="A8" activePane="bottomLeft" state="frozen"/>
      <selection pane="bottomLeft" activeCell="P13" sqref="P13"/>
    </sheetView>
  </sheetViews>
  <sheetFormatPr defaultColWidth="8.75" defaultRowHeight="14.25" x14ac:dyDescent="0.2"/>
  <cols>
    <col min="1" max="3" width="3.625" style="4" customWidth="1"/>
    <col min="4" max="4" width="21.625" style="4" customWidth="1"/>
    <col min="5" max="5" width="5.5" style="4" customWidth="1"/>
    <col min="6" max="6" width="9.25" style="4" customWidth="1"/>
    <col min="7" max="7" width="8.75" style="4"/>
    <col min="8" max="8" width="1.875" style="4" customWidth="1"/>
    <col min="9" max="9" width="11.75" style="4" bestFit="1" customWidth="1"/>
    <col min="10" max="10" width="14" style="4" bestFit="1" customWidth="1"/>
    <col min="11" max="12" width="2.75" style="4" customWidth="1"/>
    <col min="13" max="16384" width="8.75" style="4"/>
  </cols>
  <sheetData>
    <row r="1" spans="2:20" ht="5.45" customHeight="1" x14ac:dyDescent="0.2"/>
    <row r="2" spans="2:20" ht="20.25" x14ac:dyDescent="0.3">
      <c r="B2" s="20" t="str">
        <f>Menu!$F$7</f>
        <v>MTN Nigeria Communications Plc.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spans="2:20" ht="18" x14ac:dyDescent="0.25">
      <c r="C3" s="40" t="s">
        <v>3</v>
      </c>
    </row>
    <row r="4" spans="2:20" x14ac:dyDescent="0.2">
      <c r="D4" s="4" t="s">
        <v>88</v>
      </c>
    </row>
    <row r="5" spans="2:20" x14ac:dyDescent="0.2">
      <c r="D5" s="4" t="s">
        <v>89</v>
      </c>
      <c r="M5" s="42" t="s">
        <v>90</v>
      </c>
      <c r="N5" s="42" t="s">
        <v>90</v>
      </c>
      <c r="O5" s="42" t="s">
        <v>90</v>
      </c>
      <c r="P5" s="42" t="s">
        <v>91</v>
      </c>
      <c r="Q5" s="42" t="s">
        <v>91</v>
      </c>
      <c r="R5" s="42" t="s">
        <v>91</v>
      </c>
      <c r="S5" s="42" t="s">
        <v>91</v>
      </c>
      <c r="T5" s="42" t="s">
        <v>91</v>
      </c>
    </row>
    <row r="6" spans="2:20" x14ac:dyDescent="0.2">
      <c r="D6" s="4" t="s">
        <v>85</v>
      </c>
      <c r="M6" s="38">
        <f>N6-1</f>
        <v>2018</v>
      </c>
      <c r="N6" s="38">
        <f>O6-1</f>
        <v>2019</v>
      </c>
      <c r="O6" s="38">
        <f>Menu!$F$14</f>
        <v>2020</v>
      </c>
      <c r="P6" s="37">
        <f>O6+1</f>
        <v>2021</v>
      </c>
      <c r="Q6" s="37">
        <f t="shared" ref="Q6:T6" si="0">P6+1</f>
        <v>2022</v>
      </c>
      <c r="R6" s="37">
        <f t="shared" si="0"/>
        <v>2023</v>
      </c>
      <c r="S6" s="37">
        <f t="shared" si="0"/>
        <v>2024</v>
      </c>
      <c r="T6" s="37">
        <f t="shared" si="0"/>
        <v>2025</v>
      </c>
    </row>
    <row r="7" spans="2:20" ht="25.5" x14ac:dyDescent="0.2">
      <c r="D7" s="8" t="s">
        <v>81</v>
      </c>
      <c r="E7" s="8" t="s">
        <v>82</v>
      </c>
      <c r="F7" s="8" t="s">
        <v>83</v>
      </c>
      <c r="G7" s="8" t="s">
        <v>84</v>
      </c>
      <c r="I7" s="45" t="s">
        <v>118</v>
      </c>
      <c r="J7" s="45" t="s">
        <v>119</v>
      </c>
    </row>
    <row r="9" spans="2:20" ht="19.5" x14ac:dyDescent="0.3">
      <c r="B9" s="2" t="s">
        <v>33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ht="15.75" x14ac:dyDescent="0.25">
      <c r="C10" s="3" t="s">
        <v>39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</sheetData>
  <pageMargins left="0.7" right="0.7" top="0.75" bottom="0.75" header="0.3" footer="0.3"/>
  <pageSetup paperSize="9" scale="75" fitToHeight="0" orientation="landscape" r:id="rId1"/>
  <headerFooter>
    <oddFooter>&amp;LPrinted on: &amp;D at &amp;T&amp;C&amp;A&amp;R&amp;P of &amp;N</oddFooter>
  </headerFooter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25</vt:i4>
      </vt:variant>
    </vt:vector>
  </HeadingPairs>
  <TitlesOfParts>
    <vt:vector size="41" baseType="lpstr">
      <vt:lpstr>Cover</vt:lpstr>
      <vt:lpstr>Contents</vt:lpstr>
      <vt:lpstr>Style</vt:lpstr>
      <vt:lpstr>Menu</vt:lpstr>
      <vt:lpstr>Summary</vt:lpstr>
      <vt:lpstr>Historical</vt:lpstr>
      <vt:lpstr>Input</vt:lpstr>
      <vt:lpstr>Scenarios</vt:lpstr>
      <vt:lpstr>Calc</vt:lpstr>
      <vt:lpstr>P&amp;L</vt:lpstr>
      <vt:lpstr>1 (3)</vt:lpstr>
      <vt:lpstr>BS</vt:lpstr>
      <vt:lpstr>CF</vt:lpstr>
      <vt:lpstr>Analysis</vt:lpstr>
      <vt:lpstr>Blank</vt:lpstr>
      <vt:lpstr>1 (2)</vt:lpstr>
      <vt:lpstr>Balanced</vt:lpstr>
      <vt:lpstr>Currency</vt:lpstr>
      <vt:lpstr>D_Headings</vt:lpstr>
      <vt:lpstr>D_Table</vt:lpstr>
      <vt:lpstr>P_1</vt:lpstr>
      <vt:lpstr>P_2</vt:lpstr>
      <vt:lpstr>P_List</vt:lpstr>
      <vt:lpstr>'1 (2)'!Print_Titles</vt:lpstr>
      <vt:lpstr>'1 (3)'!Print_Titles</vt:lpstr>
      <vt:lpstr>Analysis!Print_Titles</vt:lpstr>
      <vt:lpstr>Blank!Print_Titles</vt:lpstr>
      <vt:lpstr>BS!Print_Titles</vt:lpstr>
      <vt:lpstr>Calc!Print_Titles</vt:lpstr>
      <vt:lpstr>CF!Print_Titles</vt:lpstr>
      <vt:lpstr>Contents!Print_Titles</vt:lpstr>
      <vt:lpstr>Historical!Print_Titles</vt:lpstr>
      <vt:lpstr>Input!Print_Titles</vt:lpstr>
      <vt:lpstr>Menu!Print_Titles</vt:lpstr>
      <vt:lpstr>'P&amp;L'!Print_Titles</vt:lpstr>
      <vt:lpstr>Scenarios!Print_Titles</vt:lpstr>
      <vt:lpstr>Style!Print_Titles</vt:lpstr>
      <vt:lpstr>Summary!Print_Titles</vt:lpstr>
      <vt:lpstr>S_Button</vt:lpstr>
      <vt:lpstr>S_List</vt:lpstr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DBC_VICTOROGUNDELE</dc:creator>
  <cp:lastModifiedBy>HP</cp:lastModifiedBy>
  <dcterms:created xsi:type="dcterms:W3CDTF">2021-03-09T08:49:12Z</dcterms:created>
  <dcterms:modified xsi:type="dcterms:W3CDTF">2025-06-29T19:58:21Z</dcterms:modified>
</cp:coreProperties>
</file>